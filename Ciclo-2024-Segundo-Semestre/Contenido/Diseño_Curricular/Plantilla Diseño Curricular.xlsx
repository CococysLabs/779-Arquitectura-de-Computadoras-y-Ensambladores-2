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hidden" name="Ejemplo" sheetId="7" r:id="rId10"/>
    <sheet state="visible" name="S5" sheetId="8" r:id="rId11"/>
    <sheet state="visible" name="S6" sheetId="9" r:id="rId12"/>
    <sheet state="visible" name="S7" sheetId="10" r:id="rId13"/>
    <sheet state="visible" name="S8" sheetId="11" r:id="rId14"/>
    <sheet state="visible" name="S9" sheetId="12" r:id="rId15"/>
    <sheet state="visible" name="S10" sheetId="13" r:id="rId16"/>
    <sheet state="visible" name="S11" sheetId="14" r:id="rId17"/>
    <sheet state="visible" name="S12" sheetId="15" r:id="rId18"/>
    <sheet state="visible" name="S13" sheetId="16" r:id="rId19"/>
    <sheet state="visible" name="S14" sheetId="17" r:id="rId20"/>
  </sheets>
  <definedNames/>
  <calcPr/>
  <extLst>
    <ext uri="GoogleSheetsCustomDataVersion2">
      <go:sheetsCustomData xmlns:go="http://customooxmlschemas.google.com/" r:id="rId21" roundtripDataChecksum="VMBPPENNA+xl5dImkT5n2a2akgKeYvLv5hQtimUwy90="/>
    </ext>
  </extLst>
</workbook>
</file>

<file path=xl/sharedStrings.xml><?xml version="1.0" encoding="utf-8"?>
<sst xmlns="http://schemas.openxmlformats.org/spreadsheetml/2006/main" count="842" uniqueCount="200">
  <si>
    <t>Numero</t>
  </si>
  <si>
    <t>Nombre de la Meta</t>
  </si>
  <si>
    <t>Descripcion de la Meta</t>
  </si>
  <si>
    <t>Conocer la arquitectura de Arduino</t>
  </si>
  <si>
    <t>Conocer la arquitectura y programación básica de Arduino.</t>
  </si>
  <si>
    <t>Aprender sobre interrupciones</t>
  </si>
  <si>
    <t>Aprender a usar interrupciones para gestionar el flujo de procesos.</t>
  </si>
  <si>
    <t>Integrar sensores y actuadores</t>
  </si>
  <si>
    <t>Integrar sensores y actuadores en proyectos automatizados.</t>
  </si>
  <si>
    <t>Desarrollar proyectos de automatización</t>
  </si>
  <si>
    <t>Desarrollar proyectos de automatización con millis() e interrupciones.</t>
  </si>
  <si>
    <t>Comprender el IoT</t>
  </si>
  <si>
    <t>Comprender arquitecturas y protocolos de comunicación en IoT</t>
  </si>
  <si>
    <t>Evaluar protocolos de comunicación</t>
  </si>
  <si>
    <t>Evaluar protocolos como MQTT y CoAP para optimizar IoT.</t>
  </si>
  <si>
    <t>Utilizar herramientas de visualización</t>
  </si>
  <si>
    <t>Utilizar plataformas NoSQL y Grafana para visualizar datos en tiempo real.</t>
  </si>
  <si>
    <t>Desarrollar estrategias de migración a la nube</t>
  </si>
  <si>
    <t>Desarrollar estrategias de migración a la nube y monitoreo de sistemas.</t>
  </si>
  <si>
    <t>Implementar machine learning en IoT</t>
  </si>
  <si>
    <t>Implementar machine learning en dispositivos IoT para casos prácticos.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</si>
  <si>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</si>
  <si>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</si>
  <si>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</si>
  <si>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</si>
  <si>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</si>
  <si>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</si>
  <si>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</si>
  <si>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Arduino y Automatización</t>
  </si>
  <si>
    <t>Introducción a Arduino</t>
  </si>
  <si>
    <t>¿Qúe es Arduino?</t>
  </si>
  <si>
    <t>Práctica 1</t>
  </si>
  <si>
    <t>Componentes de Hardware de Arduino</t>
  </si>
  <si>
    <t>Familia de Placas Arduino</t>
  </si>
  <si>
    <t>Arduino IDE</t>
  </si>
  <si>
    <t>Puertos y Pines del Arduino</t>
  </si>
  <si>
    <t>Sintaxis de Arduino</t>
  </si>
  <si>
    <t>Subida y Ejecución de Código</t>
  </si>
  <si>
    <t>Interrupciones</t>
  </si>
  <si>
    <t>Concepto de Interrupciones</t>
  </si>
  <si>
    <t>Interrupciones de Hardware y Software</t>
  </si>
  <si>
    <t>Interrupciones Internas y Externas</t>
  </si>
  <si>
    <t>Excepciones</t>
  </si>
  <si>
    <t xml:space="preserve">Condiciones de Disparo </t>
  </si>
  <si>
    <t>Rutinas de Servicio de Interrupción</t>
  </si>
  <si>
    <t xml:space="preserve">Interrupciones en Arduino  </t>
  </si>
  <si>
    <t>Sensores</t>
  </si>
  <si>
    <t>¿Qué es un Sensor?</t>
  </si>
  <si>
    <t>Tipos de Sensores Comunes en Arduino</t>
  </si>
  <si>
    <t>Sensores Analógicos vs. Digitales</t>
  </si>
  <si>
    <t>Conexión de Sensores al Arduino</t>
  </si>
  <si>
    <t>Lectura de Datos desde Sensores</t>
  </si>
  <si>
    <t>Uso del Convertidor ADC</t>
  </si>
  <si>
    <t>Manejo de Bibliotecas para Sensores</t>
  </si>
  <si>
    <t xml:space="preserve">Automatización </t>
  </si>
  <si>
    <t>Introducción a la Automatización</t>
  </si>
  <si>
    <t>Usos de la Automatización</t>
  </si>
  <si>
    <t>Interrupciones en Arduino para Automatización</t>
  </si>
  <si>
    <t>¿Reemplaza la Automatización al Factor Humano?</t>
  </si>
  <si>
    <t>Comparación de Métodos: millis() vs. Interrupciones</t>
  </si>
  <si>
    <t>Internet of Things</t>
  </si>
  <si>
    <t>Actuadores</t>
  </si>
  <si>
    <t>¿Qué es un Actuador?</t>
  </si>
  <si>
    <t>Proyecto 1</t>
  </si>
  <si>
    <t>Actuadores Eléctricos</t>
  </si>
  <si>
    <t>Tipos de Motores</t>
  </si>
  <si>
    <t>Relés</t>
  </si>
  <si>
    <t>Actuadores Mecánicos</t>
  </si>
  <si>
    <t>Actuadores Neumáticos</t>
  </si>
  <si>
    <t>Usos en la Industria</t>
  </si>
  <si>
    <t>Introducción a IoT</t>
  </si>
  <si>
    <t>Introducción al IoT Stacked Framework</t>
  </si>
  <si>
    <t>Arquitecturas y Placas utilizadas en IoT</t>
  </si>
  <si>
    <t>Protocolos de Comunicación (Zigbee, Bluetooth, Wi-Fi)</t>
  </si>
  <si>
    <t>Redes Inalámbricas (Acess-Point, Soft AP y Cliente)</t>
  </si>
  <si>
    <t>Capa de Software en IIoT (SDKs, Raspberry Pi y FreeRTOS)</t>
  </si>
  <si>
    <t>Capa de Aplicaciones en IoT (MIT App Inventor o Kodular)</t>
  </si>
  <si>
    <t>Creación de un entorno de comunicación inalámbrica y IIOT</t>
  </si>
  <si>
    <t>Protocolo HTTP en soluciones IoT</t>
  </si>
  <si>
    <t xml:space="preserve">Concepto de Protocolo </t>
  </si>
  <si>
    <t>Optimización de HTTP para IoT (Payload GZIP y Compresión CBOR)</t>
  </si>
  <si>
    <t>Comunicación entre Sistemas Embebidos (clientes) y Servidores API RESTful</t>
  </si>
  <si>
    <t xml:space="preserve">Configuración de un sistema embebido como Soft Access Point </t>
  </si>
  <si>
    <t>CoAP (Constrained Application Protocol) como Alternativa a HTTP en IoT</t>
  </si>
  <si>
    <t xml:space="preserve">HTTP y  Gateways </t>
  </si>
  <si>
    <t>Ejemplo Práctico</t>
  </si>
  <si>
    <t>Protocolo MQTT en soluciones IoT</t>
  </si>
  <si>
    <t>Concepto de protocolo</t>
  </si>
  <si>
    <t>Arquitectura MQTT</t>
  </si>
  <si>
    <t>Niveles de calidad de servicio (Qos)</t>
  </si>
  <si>
    <t>Implementación y plataformas en casos reales</t>
  </si>
  <si>
    <t>Seguridad del protocolo</t>
  </si>
  <si>
    <t>Ejemplo práctico</t>
  </si>
  <si>
    <t>Monitoreo y Visualización de Datos</t>
  </si>
  <si>
    <t>Visualización de Datos con Processing</t>
  </si>
  <si>
    <t>Introducción y Conceptos generales</t>
  </si>
  <si>
    <t>Proyecto 2</t>
  </si>
  <si>
    <t>Importación y Manipulación de datos</t>
  </si>
  <si>
    <t>Creación de gráficos y animaciones</t>
  </si>
  <si>
    <t>Interacción con visualizaciones</t>
  </si>
  <si>
    <t>Visualización con datos en tiempo real</t>
  </si>
  <si>
    <t>Ejemplo práctico con arduino</t>
  </si>
  <si>
    <t>Visualización de Datos en la Web</t>
  </si>
  <si>
    <t>Uso de Framework populares</t>
  </si>
  <si>
    <t>¿Qué es una API?</t>
  </si>
  <si>
    <t>Librerias populares de consumo de datos</t>
  </si>
  <si>
    <t>¿Qué es p5.js?</t>
  </si>
  <si>
    <t>¿Qué es Three.js?</t>
  </si>
  <si>
    <t>Vídeo interactivo</t>
  </si>
  <si>
    <t>Bases de Datos NoSQL</t>
  </si>
  <si>
    <t>Conceptos generales</t>
  </si>
  <si>
    <t>Beneficios de una Base NoSQL</t>
  </si>
  <si>
    <t>Plataformas interactivas</t>
  </si>
  <si>
    <t>MongoDB</t>
  </si>
  <si>
    <t>InfluxDB</t>
  </si>
  <si>
    <t>Redis</t>
  </si>
  <si>
    <t>Monitoreo de Datos con Grafana</t>
  </si>
  <si>
    <t>Introducción a Grafana</t>
  </si>
  <si>
    <t>Instalación y Configuración de Grafana</t>
  </si>
  <si>
    <t>Fuentes de Datos Compatibles</t>
  </si>
  <si>
    <t>Creación de Dashboards</t>
  </si>
  <si>
    <t>Alertas y Notificaciones</t>
  </si>
  <si>
    <t>Consultas con Grafana</t>
  </si>
  <si>
    <t>Monitoreo en Proyectos Reales</t>
  </si>
  <si>
    <t>Cloud Computing</t>
  </si>
  <si>
    <t>Migración a la Nube</t>
  </si>
  <si>
    <t>Conceptos Básicos de la Nube</t>
  </si>
  <si>
    <t>Estrategias de Migración a la Nube</t>
  </si>
  <si>
    <t>Evaluación de la Infraestructura Actual</t>
  </si>
  <si>
    <t>Selección de Proveedores</t>
  </si>
  <si>
    <t>Seguridad en la Migración</t>
  </si>
  <si>
    <t>Automatización de la Migración</t>
  </si>
  <si>
    <t>Ejemplo Práctico de Migración</t>
  </si>
  <si>
    <t>Machine Learning en IoT</t>
  </si>
  <si>
    <t>Introducción a IoT y Machine Learning</t>
  </si>
  <si>
    <t>Sensores y Recolección de Datos en IoT</t>
  </si>
  <si>
    <t>Preprocesamiento de Datos para Machine L.</t>
  </si>
  <si>
    <t>Modelos de Machine Learning Comunes en IoT</t>
  </si>
  <si>
    <t>Entrenamiento y Evaluación de Modelos</t>
  </si>
  <si>
    <t>Implementación de Modelos en Dispositivos IoT</t>
  </si>
  <si>
    <t>Casos de Uso</t>
  </si>
  <si>
    <t>Mes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</si>
  <si>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</si>
  <si>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</si>
  <si>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</si>
  <si>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</si>
  <si>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</si>
  <si>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</si>
  <si>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</si>
  <si>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</si>
  <si>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</si>
  <si>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</si>
  <si>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x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</si>
  <si>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</si>
  <si>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</si>
  <si>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</si>
  <si>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</si>
  <si>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</si>
  <si>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Código en Arduino</t>
  </si>
  <si>
    <r>
      <rPr>
        <rFont val="Arial Rounded"/>
        <color rgb="FF1F1F1F"/>
        <sz val="10.0"/>
      </rPr>
      <t>Colocar X en la casilla del recurso que se utilizara</t>
    </r>
  </si>
  <si>
    <t xml:space="preserve">Sensores </t>
  </si>
  <si>
    <r>
      <rPr>
        <rFont val="Arial Rounded"/>
        <color rgb="FF1F1F1F"/>
        <sz val="10.0"/>
      </rPr>
      <t>Colocar X en la casilla del recurso que se utilizara</t>
    </r>
  </si>
  <si>
    <t>X</t>
  </si>
  <si>
    <r>
      <rPr>
        <rFont val="Arial Rounded"/>
        <color rgb="FF1F1F1F"/>
        <sz val="10.0"/>
      </rPr>
      <t>Colocar X en la casilla del recurso que se utilizara</t>
    </r>
  </si>
  <si>
    <t>Enero</t>
  </si>
  <si>
    <t>Habilidades de Resolución de Problemas y Lógicas</t>
  </si>
  <si>
    <t>Fundamentos de Algoritmos y Pensamiento Computacional</t>
  </si>
  <si>
    <t>Tiempo aproximado</t>
  </si>
  <si>
    <t>Pensamiento Algorítmico para la Resolución de Problemas Complejos</t>
  </si>
  <si>
    <t>Algoritmos Aplicados en Ciencias: Biología, Criptografía, Finanzas y Más</t>
  </si>
  <si>
    <t>Comprendiendo los Sistemas Numéricos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</si>
  <si>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</si>
  <si>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</si>
  <si>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</si>
  <si>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</si>
  <si>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r>
      <rPr>
        <rFont val="Arial Rounded"/>
        <color rgb="FF1F1F1F"/>
        <sz val="10.0"/>
      </rPr>
      <t>Colocar X en la casilla del recurso que se utilizara</t>
    </r>
  </si>
  <si>
    <t xml:space="preserve">Introducción al Internet Of Things </t>
  </si>
  <si>
    <r>
      <rPr>
        <rFont val="Arial Rounded"/>
        <color rgb="FF1F1F1F"/>
        <sz val="10.0"/>
      </rPr>
      <t>Colocar X en la casilla del recurso que se utilizara</t>
    </r>
  </si>
  <si>
    <t xml:space="preserve">Protocolo HTTP en Soluciones IoT </t>
  </si>
  <si>
    <t>Ejemplo Practico</t>
  </si>
  <si>
    <r>
      <rPr>
        <rFont val="Arial Rounded"/>
        <color rgb="FF1F1F1F"/>
        <sz val="10.0"/>
      </rPr>
      <t>Colocar X en la casilla del recurso que se utilizara</t>
    </r>
  </si>
  <si>
    <t>Introducción a MQTT</t>
  </si>
  <si>
    <t>Niveles de calidad de servicio Qos</t>
  </si>
  <si>
    <r>
      <rPr>
        <rFont val="Arial Rounded"/>
        <color rgb="FF1F1F1F"/>
        <sz val="10.0"/>
      </rPr>
      <t>Colocar X en la casilla del recurso que se utilizara</t>
    </r>
  </si>
  <si>
    <t>Importacion y Manipulacion de datos</t>
  </si>
  <si>
    <t>Creacion de graficos y animaciones</t>
  </si>
  <si>
    <r>
      <rPr>
        <rFont val="Arial Rounded"/>
        <color rgb="FF1F1F1F"/>
        <sz val="10.0"/>
      </rPr>
      <t>Colocar X en la casilla del recurso que se utilizara</t>
    </r>
  </si>
  <si>
    <t>que es una API</t>
  </si>
  <si>
    <t>Librerías populares de consumo de datos</t>
  </si>
  <si>
    <t>que es p5.js</t>
  </si>
  <si>
    <t>que es Three.js</t>
  </si>
  <si>
    <t>Video interactivo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</si>
  <si>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</si>
  <si>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</si>
  <si>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</si>
  <si>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Selección de Proveedores de Servicios en la Nube</t>
  </si>
  <si>
    <t>Seguridad en la Migración a la Nube</t>
  </si>
  <si>
    <r>
      <rPr>
        <rFont val="Arial Rounded"/>
        <color rgb="FF1F1F1F"/>
        <sz val="10.0"/>
      </rPr>
      <t>Colocar X en la casilla del recurso que se utilizara</t>
    </r>
  </si>
  <si>
    <t>Preprocesamiento de Datos para Machine Learning</t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</si>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</sst>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6.0"/>
      <color rgb="FF0D0D0D"/>
      <name val="Arial"/>
    </font>
    <font/>
    <font>
      <sz val="16.0"/>
      <color theme="1"/>
      <name val="Arial"/>
    </font>
    <font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color rgb="FF000000"/>
      <name val="Arial"/>
    </font>
    <font>
      <sz val="12.0"/>
      <color rgb="FF000000"/>
      <name val="Arial"/>
    </font>
    <font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  <font>
      <b/>
      <sz val="12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0" fillId="0" fontId="3" numFmtId="0" xfId="0" applyFont="1"/>
    <xf borderId="2" fillId="0" fontId="2" numFmtId="0" xfId="0" applyBorder="1" applyFont="1"/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2" fillId="0" fontId="2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vertical="center"/>
    </xf>
    <xf borderId="5" fillId="3" fontId="8" numFmtId="0" xfId="0" applyBorder="1" applyFill="1" applyFont="1"/>
    <xf borderId="5" fillId="0" fontId="9" numFmtId="0" xfId="0" applyAlignment="1" applyBorder="1" applyFont="1">
      <alignment horizontal="left" readingOrder="0" shrinkToFit="0" wrapText="1"/>
    </xf>
    <xf borderId="0" fillId="0" fontId="9" numFmtId="0" xfId="0" applyFont="1"/>
    <xf borderId="5" fillId="2" fontId="10" numFmtId="0" xfId="0" applyAlignment="1" applyBorder="1" applyFont="1">
      <alignment horizontal="left" readingOrder="0" shrinkToFit="0" wrapText="1"/>
    </xf>
    <xf borderId="5" fillId="2" fontId="10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6" fillId="4" fontId="8" numFmtId="0" xfId="0" applyBorder="1" applyFill="1" applyFont="1"/>
    <xf borderId="5" fillId="4" fontId="8" numFmtId="0" xfId="0" applyBorder="1" applyFont="1"/>
    <xf borderId="5" fillId="4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8" fillId="0" fontId="5" numFmtId="0" xfId="0" applyBorder="1" applyFont="1"/>
    <xf borderId="6" fillId="4" fontId="8" numFmtId="0" xfId="0" applyAlignment="1" applyBorder="1" applyFont="1">
      <alignment horizontal="center" shrinkToFit="0" wrapText="1"/>
    </xf>
    <xf borderId="1" fillId="5" fontId="11" numFmtId="0" xfId="0" applyBorder="1" applyFill="1" applyFont="1"/>
    <xf borderId="1" fillId="5" fontId="12" numFmtId="0" xfId="0" applyBorder="1" applyFont="1"/>
    <xf borderId="2" fillId="5" fontId="12" numFmtId="0" xfId="0" applyBorder="1" applyFont="1"/>
    <xf borderId="9" fillId="0" fontId="5" numFmtId="0" xfId="0" applyBorder="1" applyFont="1"/>
    <xf borderId="6" fillId="4" fontId="8" numFmtId="0" xfId="0" applyAlignment="1" applyBorder="1" applyFont="1">
      <alignment horizontal="center"/>
    </xf>
    <xf borderId="6" fillId="4" fontId="13" numFmtId="0" xfId="0" applyAlignment="1" applyBorder="1" applyFont="1">
      <alignment horizontal="center"/>
    </xf>
    <xf borderId="2" fillId="5" fontId="11" numFmtId="0" xfId="0" applyBorder="1" applyFont="1"/>
    <xf borderId="10" fillId="0" fontId="5" numFmtId="0" xfId="0" applyBorder="1" applyFont="1"/>
    <xf borderId="4" fillId="0" fontId="9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0" fillId="0" fontId="1" numFmtId="0" xfId="0" applyAlignment="1" applyFont="1">
      <alignment shrinkToFit="0" wrapText="1"/>
    </xf>
    <xf borderId="0" fillId="0" fontId="14" numFmtId="0" xfId="0" applyFont="1"/>
    <xf borderId="0" fillId="0" fontId="9" numFmtId="0" xfId="0" applyAlignment="1" applyFont="1">
      <alignment shrinkToFit="0" wrapText="1"/>
    </xf>
    <xf borderId="0" fillId="0" fontId="15" numFmtId="0" xfId="0" applyFont="1"/>
    <xf borderId="5" fillId="0" fontId="9" numFmtId="0" xfId="0" applyAlignment="1" applyBorder="1" applyFont="1">
      <alignment shrinkToFit="0" wrapText="1"/>
    </xf>
    <xf borderId="5" fillId="2" fontId="10" numFmtId="0" xfId="0" applyAlignment="1" applyBorder="1" applyFont="1">
      <alignment horizontal="left" shrinkToFit="0" wrapText="1"/>
    </xf>
    <xf borderId="5" fillId="2" fontId="10" numFmtId="0" xfId="0" applyAlignment="1" applyBorder="1" applyFont="1">
      <alignment shrinkToFit="0" wrapText="1"/>
    </xf>
    <xf borderId="5" fillId="4" fontId="8" numFmtId="0" xfId="0" applyAlignment="1" applyBorder="1" applyFont="1">
      <alignment shrinkToFit="0" wrapText="1"/>
    </xf>
    <xf borderId="9" fillId="4" fontId="8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left" shrinkToFit="0" wrapText="1"/>
    </xf>
    <xf borderId="1" fillId="0" fontId="9" numFmtId="0" xfId="0" applyAlignment="1" applyBorder="1" applyFont="1">
      <alignment shrinkToFit="0" wrapText="1"/>
    </xf>
    <xf borderId="0" fillId="3" fontId="16" numFmtId="0" xfId="0" applyFont="1"/>
    <xf borderId="4" fillId="0" fontId="12" numFmtId="0" xfId="0" applyAlignment="1" applyBorder="1" applyFont="1">
      <alignment horizontal="righ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right" readingOrder="0" shrinkToFit="0" wrapText="1"/>
    </xf>
    <xf borderId="11" fillId="0" fontId="1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12" fillId="0" fontId="12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0"/>
    <col customWidth="1" min="3" max="3" width="30.63"/>
  </cols>
  <sheetData>
    <row r="1" ht="24.75" customHeight="1">
      <c r="A1" s="1" t="s">
        <v>0</v>
      </c>
      <c r="B1" s="1" t="s">
        <v>1</v>
      </c>
      <c r="C1" s="1" t="s">
        <v>2</v>
      </c>
    </row>
    <row r="2" ht="40.5" customHeight="1">
      <c r="A2" s="2">
        <v>1.0</v>
      </c>
      <c r="B2" s="3" t="s">
        <v>3</v>
      </c>
      <c r="C2" s="3" t="s">
        <v>4</v>
      </c>
    </row>
    <row r="3" ht="40.5" customHeight="1">
      <c r="A3" s="2">
        <v>2.0</v>
      </c>
      <c r="B3" s="3" t="s">
        <v>5</v>
      </c>
      <c r="C3" s="3" t="s">
        <v>6</v>
      </c>
    </row>
    <row r="4" ht="40.5" customHeight="1">
      <c r="A4" s="2">
        <v>3.0</v>
      </c>
      <c r="B4" s="3" t="s">
        <v>7</v>
      </c>
      <c r="C4" s="3" t="s">
        <v>8</v>
      </c>
    </row>
    <row r="5" ht="40.5" customHeight="1">
      <c r="A5" s="2">
        <v>4.0</v>
      </c>
      <c r="B5" s="3" t="s">
        <v>9</v>
      </c>
      <c r="C5" s="3" t="s">
        <v>10</v>
      </c>
    </row>
    <row r="6" ht="40.5" customHeight="1">
      <c r="A6" s="2">
        <v>5.0</v>
      </c>
      <c r="B6" s="3" t="s">
        <v>11</v>
      </c>
      <c r="C6" s="3" t="s">
        <v>12</v>
      </c>
    </row>
    <row r="7" ht="40.5" customHeight="1">
      <c r="A7" s="2">
        <v>6.0</v>
      </c>
      <c r="B7" s="3" t="s">
        <v>13</v>
      </c>
      <c r="C7" s="3" t="s">
        <v>14</v>
      </c>
    </row>
    <row r="8" ht="40.5" customHeight="1">
      <c r="A8" s="2">
        <v>7.0</v>
      </c>
      <c r="B8" s="3" t="s">
        <v>15</v>
      </c>
      <c r="C8" s="3" t="s">
        <v>16</v>
      </c>
    </row>
    <row r="9" ht="40.5" customHeight="1">
      <c r="A9" s="2">
        <v>8.0</v>
      </c>
      <c r="B9" s="3" t="s">
        <v>17</v>
      </c>
      <c r="C9" s="3" t="s">
        <v>18</v>
      </c>
    </row>
    <row r="10" ht="40.5" customHeight="1">
      <c r="A10" s="2">
        <v>9.0</v>
      </c>
      <c r="B10" s="3" t="s">
        <v>19</v>
      </c>
      <c r="C10" s="3" t="s">
        <v>20</v>
      </c>
    </row>
    <row r="11" ht="15.75" customHeight="1">
      <c r="A11" s="4"/>
      <c r="B11" s="4"/>
      <c r="C11" s="4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1.0"/>
    <col customWidth="1" min="3" max="3" width="7.38"/>
    <col customWidth="1" min="4" max="4" width="12.63"/>
    <col customWidth="1" min="5" max="5" width="7.25"/>
    <col customWidth="1" min="6" max="6" width="58.75"/>
    <col customWidth="1" min="7" max="7" width="13.38"/>
  </cols>
  <sheetData>
    <row r="1" ht="15.75" customHeight="1">
      <c r="A1" s="5" t="s">
        <v>21</v>
      </c>
      <c r="B1" s="6" t="s">
        <v>22</v>
      </c>
      <c r="C1" s="7" t="s">
        <v>23</v>
      </c>
      <c r="D1" s="1" t="s">
        <v>24</v>
      </c>
      <c r="E1" s="5" t="s">
        <v>25</v>
      </c>
      <c r="F1" s="5" t="s">
        <v>26</v>
      </c>
      <c r="G1" s="5" t="s">
        <v>27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>
        <v>1.0</v>
      </c>
      <c r="B2" s="10" t="s">
        <v>28</v>
      </c>
      <c r="C2" s="9">
        <v>1.0</v>
      </c>
      <c r="D2" s="11" t="s">
        <v>29</v>
      </c>
      <c r="E2" s="12">
        <v>1.0</v>
      </c>
      <c r="F2" s="13" t="s">
        <v>30</v>
      </c>
      <c r="G2" s="13" t="s">
        <v>31</v>
      </c>
    </row>
    <row r="3" ht="15.75" customHeight="1">
      <c r="A3" s="14"/>
      <c r="B3" s="14"/>
      <c r="C3" s="14"/>
      <c r="D3" s="14"/>
      <c r="E3" s="12">
        <v>2.0</v>
      </c>
      <c r="F3" s="13" t="s">
        <v>32</v>
      </c>
      <c r="G3" s="13" t="s">
        <v>31</v>
      </c>
    </row>
    <row r="4" ht="15.75" customHeight="1">
      <c r="A4" s="14"/>
      <c r="B4" s="14"/>
      <c r="C4" s="14"/>
      <c r="D4" s="14"/>
      <c r="E4" s="12">
        <v>3.0</v>
      </c>
      <c r="F4" s="13" t="s">
        <v>33</v>
      </c>
      <c r="G4" s="13" t="s">
        <v>31</v>
      </c>
    </row>
    <row r="5" ht="15.75" customHeight="1">
      <c r="A5" s="14"/>
      <c r="B5" s="14"/>
      <c r="C5" s="14"/>
      <c r="D5" s="14"/>
      <c r="E5" s="12">
        <v>4.0</v>
      </c>
      <c r="F5" s="13" t="s">
        <v>34</v>
      </c>
      <c r="G5" s="13" t="s">
        <v>31</v>
      </c>
    </row>
    <row r="6" ht="15.75" customHeight="1">
      <c r="A6" s="14"/>
      <c r="B6" s="14"/>
      <c r="C6" s="14"/>
      <c r="D6" s="14"/>
      <c r="E6" s="12">
        <v>5.0</v>
      </c>
      <c r="F6" s="13" t="s">
        <v>35</v>
      </c>
      <c r="G6" s="13" t="s">
        <v>31</v>
      </c>
    </row>
    <row r="7" ht="15.75" customHeight="1">
      <c r="A7" s="14"/>
      <c r="B7" s="14"/>
      <c r="C7" s="14"/>
      <c r="D7" s="14"/>
      <c r="E7" s="12">
        <v>6.0</v>
      </c>
      <c r="F7" s="13" t="s">
        <v>36</v>
      </c>
      <c r="G7" s="13" t="s">
        <v>31</v>
      </c>
    </row>
    <row r="8" ht="15.75" customHeight="1">
      <c r="A8" s="14"/>
      <c r="B8" s="14"/>
      <c r="C8" s="15"/>
      <c r="D8" s="15"/>
      <c r="E8" s="12">
        <v>7.0</v>
      </c>
      <c r="F8" s="13" t="s">
        <v>37</v>
      </c>
      <c r="G8" s="13" t="s">
        <v>31</v>
      </c>
    </row>
    <row r="9" ht="15.75" customHeight="1">
      <c r="A9" s="14"/>
      <c r="B9" s="14"/>
      <c r="C9" s="9">
        <v>2.0</v>
      </c>
      <c r="D9" s="11" t="s">
        <v>38</v>
      </c>
      <c r="E9" s="12">
        <v>1.0</v>
      </c>
      <c r="F9" s="13" t="s">
        <v>39</v>
      </c>
      <c r="G9" s="13" t="s">
        <v>31</v>
      </c>
    </row>
    <row r="10" ht="15.75" customHeight="1">
      <c r="A10" s="14"/>
      <c r="B10" s="14"/>
      <c r="C10" s="14"/>
      <c r="D10" s="14"/>
      <c r="E10" s="12">
        <v>2.0</v>
      </c>
      <c r="F10" s="13" t="s">
        <v>40</v>
      </c>
      <c r="G10" s="13" t="s">
        <v>31</v>
      </c>
    </row>
    <row r="11" ht="15.75" customHeight="1">
      <c r="A11" s="14"/>
      <c r="B11" s="14"/>
      <c r="C11" s="14"/>
      <c r="D11" s="14"/>
      <c r="E11" s="12">
        <v>3.0</v>
      </c>
      <c r="F11" s="13" t="s">
        <v>41</v>
      </c>
      <c r="G11" s="13" t="s">
        <v>31</v>
      </c>
    </row>
    <row r="12" ht="15.75" customHeight="1">
      <c r="A12" s="14"/>
      <c r="B12" s="14"/>
      <c r="C12" s="14"/>
      <c r="D12" s="14"/>
      <c r="E12" s="12">
        <v>4.0</v>
      </c>
      <c r="F12" s="13" t="s">
        <v>42</v>
      </c>
      <c r="G12" s="13" t="s">
        <v>31</v>
      </c>
    </row>
    <row r="13" ht="15.75" customHeight="1">
      <c r="A13" s="14"/>
      <c r="B13" s="14"/>
      <c r="C13" s="14"/>
      <c r="D13" s="14"/>
      <c r="E13" s="12">
        <v>5.0</v>
      </c>
      <c r="F13" s="13" t="s">
        <v>43</v>
      </c>
      <c r="G13" s="13" t="s">
        <v>31</v>
      </c>
    </row>
    <row r="14" ht="15.75" customHeight="1">
      <c r="A14" s="14"/>
      <c r="B14" s="14"/>
      <c r="C14" s="14"/>
      <c r="D14" s="14"/>
      <c r="E14" s="12">
        <v>6.0</v>
      </c>
      <c r="F14" s="13" t="s">
        <v>44</v>
      </c>
      <c r="G14" s="13" t="s">
        <v>31</v>
      </c>
    </row>
    <row r="15" ht="15.75" customHeight="1">
      <c r="A15" s="14"/>
      <c r="B15" s="14"/>
      <c r="C15" s="15"/>
      <c r="D15" s="15"/>
      <c r="E15" s="12">
        <v>7.0</v>
      </c>
      <c r="F15" s="13" t="s">
        <v>45</v>
      </c>
      <c r="G15" s="13" t="s">
        <v>31</v>
      </c>
    </row>
    <row r="16" ht="15.75" customHeight="1">
      <c r="A16" s="14"/>
      <c r="B16" s="14"/>
      <c r="C16" s="9">
        <v>3.0</v>
      </c>
      <c r="D16" s="11" t="s">
        <v>46</v>
      </c>
      <c r="E16" s="12">
        <v>1.0</v>
      </c>
      <c r="F16" s="13" t="s">
        <v>47</v>
      </c>
      <c r="G16" s="13" t="s">
        <v>31</v>
      </c>
    </row>
    <row r="17" ht="15.75" customHeight="1">
      <c r="A17" s="14"/>
      <c r="B17" s="14"/>
      <c r="C17" s="14"/>
      <c r="D17" s="14"/>
      <c r="E17" s="12">
        <v>2.0</v>
      </c>
      <c r="F17" s="13" t="s">
        <v>48</v>
      </c>
      <c r="G17" s="13" t="s">
        <v>31</v>
      </c>
    </row>
    <row r="18" ht="15.75" customHeight="1">
      <c r="A18" s="14"/>
      <c r="B18" s="14"/>
      <c r="C18" s="14"/>
      <c r="D18" s="14"/>
      <c r="E18" s="12">
        <v>3.0</v>
      </c>
      <c r="F18" s="13" t="s">
        <v>49</v>
      </c>
      <c r="G18" s="13" t="s">
        <v>31</v>
      </c>
    </row>
    <row r="19" ht="15.75" customHeight="1">
      <c r="A19" s="14"/>
      <c r="B19" s="14"/>
      <c r="C19" s="14"/>
      <c r="D19" s="14"/>
      <c r="E19" s="12">
        <v>4.0</v>
      </c>
      <c r="F19" s="13" t="s">
        <v>50</v>
      </c>
      <c r="G19" s="13" t="s">
        <v>31</v>
      </c>
    </row>
    <row r="20" ht="15.75" customHeight="1">
      <c r="A20" s="14"/>
      <c r="B20" s="14"/>
      <c r="C20" s="14"/>
      <c r="D20" s="14"/>
      <c r="E20" s="12">
        <v>5.0</v>
      </c>
      <c r="F20" s="13" t="s">
        <v>51</v>
      </c>
      <c r="G20" s="13" t="s">
        <v>31</v>
      </c>
    </row>
    <row r="21" ht="15.75" customHeight="1">
      <c r="A21" s="14"/>
      <c r="B21" s="14"/>
      <c r="C21" s="14"/>
      <c r="D21" s="14"/>
      <c r="E21" s="12">
        <v>6.0</v>
      </c>
      <c r="F21" s="13" t="s">
        <v>52</v>
      </c>
      <c r="G21" s="13" t="s">
        <v>31</v>
      </c>
    </row>
    <row r="22" ht="15.75" customHeight="1">
      <c r="A22" s="14"/>
      <c r="B22" s="14"/>
      <c r="C22" s="15"/>
      <c r="D22" s="15"/>
      <c r="E22" s="12">
        <v>7.0</v>
      </c>
      <c r="F22" s="13" t="s">
        <v>53</v>
      </c>
      <c r="G22" s="13" t="s">
        <v>31</v>
      </c>
    </row>
    <row r="23" ht="15.75" customHeight="1">
      <c r="A23" s="14"/>
      <c r="B23" s="14"/>
      <c r="C23" s="9">
        <v>4.0</v>
      </c>
      <c r="D23" s="11" t="s">
        <v>54</v>
      </c>
      <c r="E23" s="12">
        <v>1.0</v>
      </c>
      <c r="F23" s="13" t="s">
        <v>55</v>
      </c>
      <c r="G23" s="13" t="s">
        <v>31</v>
      </c>
    </row>
    <row r="24" ht="15.75" customHeight="1">
      <c r="A24" s="14"/>
      <c r="B24" s="14"/>
      <c r="C24" s="14"/>
      <c r="D24" s="14"/>
      <c r="E24" s="12">
        <v>2.0</v>
      </c>
      <c r="F24" s="13" t="s">
        <v>56</v>
      </c>
      <c r="G24" s="13" t="s">
        <v>31</v>
      </c>
    </row>
    <row r="25" ht="15.75" customHeight="1">
      <c r="A25" s="14"/>
      <c r="B25" s="14"/>
      <c r="C25" s="14"/>
      <c r="D25" s="14"/>
      <c r="E25" s="12">
        <v>3.0</v>
      </c>
      <c r="F25" s="13" t="s">
        <v>57</v>
      </c>
      <c r="G25" s="13" t="s">
        <v>31</v>
      </c>
    </row>
    <row r="26" ht="9.0" customHeight="1">
      <c r="A26" s="14"/>
      <c r="B26" s="14"/>
      <c r="C26" s="14"/>
      <c r="D26" s="14"/>
      <c r="E26" s="9">
        <v>4.0</v>
      </c>
      <c r="F26" s="11" t="s">
        <v>58</v>
      </c>
      <c r="G26" s="16" t="s">
        <v>31</v>
      </c>
    </row>
    <row r="27" ht="9.0" customHeight="1">
      <c r="A27" s="14"/>
      <c r="B27" s="14"/>
      <c r="C27" s="14"/>
      <c r="D27" s="14"/>
      <c r="E27" s="15"/>
      <c r="F27" s="15"/>
      <c r="G27" s="15"/>
    </row>
    <row r="28" ht="9.0" customHeight="1">
      <c r="A28" s="14"/>
      <c r="B28" s="14"/>
      <c r="C28" s="14"/>
      <c r="D28" s="14"/>
      <c r="E28" s="9">
        <v>5.0</v>
      </c>
      <c r="F28" s="11" t="s">
        <v>59</v>
      </c>
      <c r="G28" s="16" t="s">
        <v>31</v>
      </c>
    </row>
    <row r="29" ht="6.75" customHeight="1">
      <c r="A29" s="15"/>
      <c r="B29" s="15"/>
      <c r="C29" s="15"/>
      <c r="D29" s="15"/>
      <c r="E29" s="15"/>
      <c r="F29" s="15"/>
      <c r="G29" s="15"/>
    </row>
    <row r="30" ht="15.75" customHeight="1">
      <c r="A30" s="9">
        <v>2.0</v>
      </c>
      <c r="B30" s="17" t="s">
        <v>60</v>
      </c>
      <c r="C30" s="9">
        <v>5.0</v>
      </c>
      <c r="D30" s="11" t="s">
        <v>61</v>
      </c>
      <c r="E30" s="12">
        <v>1.0</v>
      </c>
      <c r="F30" s="13" t="s">
        <v>62</v>
      </c>
      <c r="G30" s="13" t="s">
        <v>63</v>
      </c>
    </row>
    <row r="31" ht="15.75" customHeight="1">
      <c r="A31" s="14"/>
      <c r="B31" s="14"/>
      <c r="C31" s="14"/>
      <c r="D31" s="14"/>
      <c r="E31" s="12">
        <v>2.0</v>
      </c>
      <c r="F31" s="13" t="s">
        <v>64</v>
      </c>
      <c r="G31" s="13" t="s">
        <v>63</v>
      </c>
    </row>
    <row r="32" ht="15.75" customHeight="1">
      <c r="A32" s="14"/>
      <c r="B32" s="14"/>
      <c r="C32" s="14"/>
      <c r="D32" s="14"/>
      <c r="E32" s="12">
        <v>3.0</v>
      </c>
      <c r="F32" s="18" t="s">
        <v>65</v>
      </c>
      <c r="G32" s="13" t="s">
        <v>63</v>
      </c>
    </row>
    <row r="33" ht="15.75" customHeight="1">
      <c r="A33" s="14"/>
      <c r="B33" s="14"/>
      <c r="C33" s="14"/>
      <c r="D33" s="14"/>
      <c r="E33" s="12">
        <v>4.0</v>
      </c>
      <c r="F33" s="13" t="s">
        <v>66</v>
      </c>
      <c r="G33" s="13" t="s">
        <v>63</v>
      </c>
    </row>
    <row r="34" ht="15.75" customHeight="1">
      <c r="A34" s="14"/>
      <c r="B34" s="14"/>
      <c r="C34" s="14"/>
      <c r="D34" s="14"/>
      <c r="E34" s="12">
        <v>5.0</v>
      </c>
      <c r="F34" s="13" t="s">
        <v>67</v>
      </c>
      <c r="G34" s="13" t="s">
        <v>63</v>
      </c>
    </row>
    <row r="35" ht="15.75" customHeight="1">
      <c r="A35" s="14"/>
      <c r="B35" s="14"/>
      <c r="C35" s="14"/>
      <c r="D35" s="14"/>
      <c r="E35" s="12">
        <v>6.0</v>
      </c>
      <c r="F35" s="13" t="s">
        <v>68</v>
      </c>
      <c r="G35" s="13" t="s">
        <v>63</v>
      </c>
    </row>
    <row r="36" ht="15.75" customHeight="1">
      <c r="A36" s="14"/>
      <c r="B36" s="14"/>
      <c r="C36" s="15"/>
      <c r="D36" s="15"/>
      <c r="E36" s="12">
        <v>7.0</v>
      </c>
      <c r="F36" s="13" t="s">
        <v>69</v>
      </c>
      <c r="G36" s="13" t="s">
        <v>63</v>
      </c>
    </row>
    <row r="37" ht="15.75" customHeight="1">
      <c r="A37" s="14"/>
      <c r="B37" s="14"/>
      <c r="C37" s="9">
        <v>6.0</v>
      </c>
      <c r="D37" s="11" t="s">
        <v>70</v>
      </c>
      <c r="E37" s="12">
        <v>1.0</v>
      </c>
      <c r="F37" s="13" t="s">
        <v>71</v>
      </c>
      <c r="G37" s="13" t="s">
        <v>63</v>
      </c>
    </row>
    <row r="38" ht="15.75" customHeight="1">
      <c r="A38" s="14"/>
      <c r="B38" s="14"/>
      <c r="C38" s="14"/>
      <c r="D38" s="14"/>
      <c r="E38" s="12">
        <v>2.0</v>
      </c>
      <c r="F38" s="13" t="s">
        <v>72</v>
      </c>
      <c r="G38" s="13" t="s">
        <v>63</v>
      </c>
    </row>
    <row r="39" ht="15.75" customHeight="1">
      <c r="A39" s="14"/>
      <c r="B39" s="14"/>
      <c r="C39" s="14"/>
      <c r="D39" s="14"/>
      <c r="E39" s="12">
        <v>3.0</v>
      </c>
      <c r="F39" s="13" t="s">
        <v>73</v>
      </c>
      <c r="G39" s="13" t="s">
        <v>63</v>
      </c>
    </row>
    <row r="40" ht="15.75" customHeight="1">
      <c r="A40" s="14"/>
      <c r="B40" s="14"/>
      <c r="C40" s="14"/>
      <c r="D40" s="14"/>
      <c r="E40" s="12">
        <v>4.0</v>
      </c>
      <c r="F40" s="13" t="s">
        <v>74</v>
      </c>
      <c r="G40" s="13" t="s">
        <v>63</v>
      </c>
    </row>
    <row r="41" ht="15.75" customHeight="1">
      <c r="A41" s="14"/>
      <c r="B41" s="14"/>
      <c r="C41" s="14"/>
      <c r="D41" s="14"/>
      <c r="E41" s="12">
        <v>5.0</v>
      </c>
      <c r="F41" s="13" t="s">
        <v>75</v>
      </c>
      <c r="G41" s="13" t="s">
        <v>63</v>
      </c>
    </row>
    <row r="42" ht="15.75" customHeight="1">
      <c r="A42" s="14"/>
      <c r="B42" s="14"/>
      <c r="C42" s="14"/>
      <c r="D42" s="14"/>
      <c r="E42" s="12">
        <v>6.0</v>
      </c>
      <c r="F42" s="13" t="s">
        <v>76</v>
      </c>
      <c r="G42" s="13" t="s">
        <v>63</v>
      </c>
    </row>
    <row r="43" ht="15.75" customHeight="1">
      <c r="A43" s="14"/>
      <c r="B43" s="14"/>
      <c r="C43" s="15"/>
      <c r="D43" s="15"/>
      <c r="E43" s="12">
        <v>7.0</v>
      </c>
      <c r="F43" s="13" t="s">
        <v>77</v>
      </c>
      <c r="G43" s="13" t="s">
        <v>63</v>
      </c>
    </row>
    <row r="44" ht="15.75" customHeight="1">
      <c r="A44" s="14"/>
      <c r="B44" s="14"/>
      <c r="C44" s="9">
        <v>7.0</v>
      </c>
      <c r="D44" s="11" t="s">
        <v>78</v>
      </c>
      <c r="E44" s="12">
        <v>1.0</v>
      </c>
      <c r="F44" s="13" t="s">
        <v>79</v>
      </c>
      <c r="G44" s="13" t="s">
        <v>63</v>
      </c>
    </row>
    <row r="45" ht="15.75" customHeight="1">
      <c r="A45" s="14"/>
      <c r="B45" s="14"/>
      <c r="C45" s="14"/>
      <c r="D45" s="14"/>
      <c r="E45" s="12">
        <v>2.0</v>
      </c>
      <c r="F45" s="13" t="s">
        <v>80</v>
      </c>
      <c r="G45" s="13" t="s">
        <v>63</v>
      </c>
    </row>
    <row r="46" ht="15.75" customHeight="1">
      <c r="A46" s="14"/>
      <c r="B46" s="14"/>
      <c r="C46" s="14"/>
      <c r="D46" s="14"/>
      <c r="E46" s="12">
        <v>3.0</v>
      </c>
      <c r="F46" s="13" t="s">
        <v>81</v>
      </c>
      <c r="G46" s="13" t="s">
        <v>63</v>
      </c>
    </row>
    <row r="47" ht="15.75" customHeight="1">
      <c r="A47" s="14"/>
      <c r="B47" s="14"/>
      <c r="C47" s="14"/>
      <c r="D47" s="14"/>
      <c r="E47" s="12">
        <v>4.0</v>
      </c>
      <c r="F47" s="13" t="s">
        <v>82</v>
      </c>
      <c r="G47" s="13" t="s">
        <v>63</v>
      </c>
    </row>
    <row r="48" ht="15.75" customHeight="1">
      <c r="A48" s="14"/>
      <c r="B48" s="14"/>
      <c r="C48" s="14"/>
      <c r="D48" s="14"/>
      <c r="E48" s="12">
        <v>5.0</v>
      </c>
      <c r="F48" s="19" t="s">
        <v>83</v>
      </c>
      <c r="G48" s="13" t="s">
        <v>63</v>
      </c>
    </row>
    <row r="49" ht="15.75" customHeight="1">
      <c r="A49" s="14"/>
      <c r="B49" s="14"/>
      <c r="C49" s="14"/>
      <c r="D49" s="14"/>
      <c r="E49" s="12">
        <v>6.0</v>
      </c>
      <c r="F49" s="19" t="s">
        <v>84</v>
      </c>
      <c r="G49" s="13" t="s">
        <v>63</v>
      </c>
    </row>
    <row r="50" ht="15.75" customHeight="1">
      <c r="A50" s="14"/>
      <c r="B50" s="14"/>
      <c r="C50" s="15"/>
      <c r="D50" s="15"/>
      <c r="E50" s="12">
        <v>7.0</v>
      </c>
      <c r="F50" s="19" t="s">
        <v>85</v>
      </c>
      <c r="G50" s="13" t="s">
        <v>63</v>
      </c>
    </row>
    <row r="51" ht="15.75" customHeight="1">
      <c r="A51" s="14"/>
      <c r="B51" s="14"/>
      <c r="C51" s="9">
        <v>8.0</v>
      </c>
      <c r="D51" s="11" t="s">
        <v>86</v>
      </c>
      <c r="E51" s="12">
        <v>1.0</v>
      </c>
      <c r="F51" s="13" t="s">
        <v>87</v>
      </c>
      <c r="G51" s="13" t="s">
        <v>63</v>
      </c>
    </row>
    <row r="52" ht="15.75" customHeight="1">
      <c r="A52" s="14"/>
      <c r="B52" s="14"/>
      <c r="C52" s="14"/>
      <c r="D52" s="14"/>
      <c r="E52" s="12">
        <v>2.0</v>
      </c>
      <c r="F52" s="18" t="s">
        <v>88</v>
      </c>
      <c r="G52" s="13" t="s">
        <v>63</v>
      </c>
    </row>
    <row r="53" ht="15.75" customHeight="1">
      <c r="A53" s="14"/>
      <c r="B53" s="14"/>
      <c r="C53" s="14"/>
      <c r="D53" s="14"/>
      <c r="E53" s="12">
        <v>3.0</v>
      </c>
      <c r="F53" s="13" t="s">
        <v>89</v>
      </c>
      <c r="G53" s="13" t="s">
        <v>63</v>
      </c>
    </row>
    <row r="54" ht="15.75" customHeight="1">
      <c r="A54" s="14"/>
      <c r="B54" s="14"/>
      <c r="C54" s="14"/>
      <c r="D54" s="14"/>
      <c r="E54" s="12">
        <v>4.0</v>
      </c>
      <c r="F54" s="13" t="s">
        <v>90</v>
      </c>
      <c r="G54" s="13" t="s">
        <v>63</v>
      </c>
    </row>
    <row r="55" ht="15.75" customHeight="1">
      <c r="A55" s="14"/>
      <c r="B55" s="14"/>
      <c r="C55" s="14"/>
      <c r="D55" s="14"/>
      <c r="E55" s="12">
        <v>5.0</v>
      </c>
      <c r="F55" s="18" t="s">
        <v>91</v>
      </c>
      <c r="G55" s="13" t="s">
        <v>63</v>
      </c>
    </row>
    <row r="56" ht="9.0" customHeight="1">
      <c r="A56" s="14"/>
      <c r="B56" s="14"/>
      <c r="C56" s="14"/>
      <c r="D56" s="14"/>
      <c r="E56" s="9">
        <v>6.0</v>
      </c>
      <c r="F56" s="16" t="s">
        <v>92</v>
      </c>
      <c r="G56" s="16" t="s">
        <v>63</v>
      </c>
    </row>
    <row r="57" ht="6.0" customHeight="1">
      <c r="A57" s="15"/>
      <c r="B57" s="15"/>
      <c r="C57" s="15"/>
      <c r="D57" s="15"/>
      <c r="E57" s="15"/>
      <c r="F57" s="15"/>
      <c r="G57" s="15"/>
    </row>
    <row r="58" ht="15.75" customHeight="1">
      <c r="A58" s="9">
        <v>3.0</v>
      </c>
      <c r="B58" s="10" t="s">
        <v>93</v>
      </c>
      <c r="C58" s="9">
        <v>9.0</v>
      </c>
      <c r="D58" s="11" t="s">
        <v>94</v>
      </c>
      <c r="E58" s="12">
        <v>1.0</v>
      </c>
      <c r="F58" s="13" t="s">
        <v>95</v>
      </c>
      <c r="G58" s="13" t="s">
        <v>96</v>
      </c>
    </row>
    <row r="59" ht="15.75" customHeight="1">
      <c r="A59" s="14"/>
      <c r="B59" s="14"/>
      <c r="C59" s="14"/>
      <c r="D59" s="14"/>
      <c r="E59" s="12">
        <v>2.0</v>
      </c>
      <c r="F59" s="13" t="s">
        <v>97</v>
      </c>
      <c r="G59" s="13" t="s">
        <v>96</v>
      </c>
    </row>
    <row r="60" ht="15.75" customHeight="1">
      <c r="A60" s="14"/>
      <c r="B60" s="14"/>
      <c r="C60" s="14"/>
      <c r="D60" s="14"/>
      <c r="E60" s="12">
        <v>3.0</v>
      </c>
      <c r="F60" s="13" t="s">
        <v>98</v>
      </c>
      <c r="G60" s="13" t="s">
        <v>96</v>
      </c>
    </row>
    <row r="61" ht="15.75" customHeight="1">
      <c r="A61" s="14"/>
      <c r="B61" s="14"/>
      <c r="C61" s="14"/>
      <c r="D61" s="14"/>
      <c r="E61" s="12">
        <v>4.0</v>
      </c>
      <c r="F61" s="13" t="s">
        <v>99</v>
      </c>
      <c r="G61" s="13" t="s">
        <v>96</v>
      </c>
    </row>
    <row r="62" ht="15.75" customHeight="1">
      <c r="A62" s="14"/>
      <c r="B62" s="14"/>
      <c r="C62" s="14"/>
      <c r="D62" s="14"/>
      <c r="E62" s="12">
        <v>5.0</v>
      </c>
      <c r="F62" s="18" t="s">
        <v>100</v>
      </c>
      <c r="G62" s="13" t="s">
        <v>96</v>
      </c>
    </row>
    <row r="63" ht="10.5" customHeight="1">
      <c r="A63" s="14"/>
      <c r="B63" s="14"/>
      <c r="C63" s="14"/>
      <c r="D63" s="14"/>
      <c r="E63" s="9">
        <v>6.0</v>
      </c>
      <c r="F63" s="16" t="s">
        <v>101</v>
      </c>
      <c r="G63" s="16" t="s">
        <v>96</v>
      </c>
    </row>
    <row r="64" ht="3.75" customHeight="1">
      <c r="A64" s="14"/>
      <c r="B64" s="14"/>
      <c r="C64" s="15"/>
      <c r="D64" s="15"/>
      <c r="E64" s="15"/>
      <c r="F64" s="15"/>
      <c r="G64" s="15"/>
    </row>
    <row r="65" ht="15.75" customHeight="1">
      <c r="A65" s="14"/>
      <c r="B65" s="14"/>
      <c r="C65" s="9">
        <v>10.0</v>
      </c>
      <c r="D65" s="11" t="s">
        <v>102</v>
      </c>
      <c r="E65" s="12">
        <v>1.0</v>
      </c>
      <c r="F65" s="13" t="s">
        <v>103</v>
      </c>
      <c r="G65" s="13" t="s">
        <v>96</v>
      </c>
    </row>
    <row r="66" ht="15.75" customHeight="1">
      <c r="A66" s="14"/>
      <c r="B66" s="14"/>
      <c r="C66" s="14"/>
      <c r="D66" s="14"/>
      <c r="E66" s="12">
        <v>2.0</v>
      </c>
      <c r="F66" s="13" t="s">
        <v>104</v>
      </c>
      <c r="G66" s="13" t="s">
        <v>96</v>
      </c>
    </row>
    <row r="67" ht="15.75" customHeight="1">
      <c r="A67" s="14"/>
      <c r="B67" s="14"/>
      <c r="C67" s="14"/>
      <c r="D67" s="14"/>
      <c r="E67" s="12">
        <v>3.0</v>
      </c>
      <c r="F67" s="13" t="s">
        <v>105</v>
      </c>
      <c r="G67" s="13" t="s">
        <v>96</v>
      </c>
    </row>
    <row r="68" ht="15.75" customHeight="1">
      <c r="A68" s="14"/>
      <c r="B68" s="14"/>
      <c r="C68" s="14"/>
      <c r="D68" s="14"/>
      <c r="E68" s="12">
        <v>4.0</v>
      </c>
      <c r="F68" s="13" t="s">
        <v>106</v>
      </c>
      <c r="G68" s="13" t="s">
        <v>96</v>
      </c>
    </row>
    <row r="69" ht="15.75" customHeight="1">
      <c r="A69" s="14"/>
      <c r="B69" s="14"/>
      <c r="C69" s="14"/>
      <c r="D69" s="14"/>
      <c r="E69" s="12">
        <v>5.0</v>
      </c>
      <c r="F69" s="13" t="s">
        <v>107</v>
      </c>
      <c r="G69" s="13" t="s">
        <v>96</v>
      </c>
    </row>
    <row r="70" ht="15.75" customHeight="1">
      <c r="A70" s="14"/>
      <c r="B70" s="14"/>
      <c r="C70" s="14"/>
      <c r="D70" s="14"/>
      <c r="E70" s="12">
        <v>6.0</v>
      </c>
      <c r="F70" s="13" t="s">
        <v>108</v>
      </c>
      <c r="G70" s="13" t="s">
        <v>96</v>
      </c>
    </row>
    <row r="71" ht="15.75" customHeight="1">
      <c r="A71" s="14"/>
      <c r="B71" s="14"/>
      <c r="C71" s="15"/>
      <c r="D71" s="15"/>
      <c r="E71" s="12">
        <v>7.0</v>
      </c>
      <c r="F71" s="13" t="s">
        <v>92</v>
      </c>
      <c r="G71" s="13" t="s">
        <v>96</v>
      </c>
    </row>
    <row r="72" ht="15.75" customHeight="1">
      <c r="A72" s="14"/>
      <c r="B72" s="14"/>
      <c r="C72" s="9">
        <v>11.0</v>
      </c>
      <c r="D72" s="11" t="s">
        <v>109</v>
      </c>
      <c r="E72" s="12">
        <v>1.0</v>
      </c>
      <c r="F72" s="13" t="s">
        <v>110</v>
      </c>
      <c r="G72" s="13" t="s">
        <v>96</v>
      </c>
    </row>
    <row r="73" ht="15.75" customHeight="1">
      <c r="A73" s="14"/>
      <c r="B73" s="14"/>
      <c r="C73" s="14"/>
      <c r="D73" s="14"/>
      <c r="E73" s="12">
        <v>2.0</v>
      </c>
      <c r="F73" s="13" t="s">
        <v>111</v>
      </c>
      <c r="G73" s="13" t="s">
        <v>96</v>
      </c>
    </row>
    <row r="74" ht="15.75" customHeight="1">
      <c r="A74" s="14"/>
      <c r="B74" s="14"/>
      <c r="C74" s="14"/>
      <c r="D74" s="14"/>
      <c r="E74" s="12">
        <v>3.0</v>
      </c>
      <c r="F74" s="13" t="s">
        <v>112</v>
      </c>
      <c r="G74" s="13" t="s">
        <v>96</v>
      </c>
    </row>
    <row r="75" ht="15.75" customHeight="1">
      <c r="A75" s="14"/>
      <c r="B75" s="14"/>
      <c r="C75" s="14"/>
      <c r="D75" s="14"/>
      <c r="E75" s="12">
        <v>4.0</v>
      </c>
      <c r="F75" s="13" t="s">
        <v>113</v>
      </c>
      <c r="G75" s="13" t="s">
        <v>96</v>
      </c>
    </row>
    <row r="76" ht="15.75" customHeight="1">
      <c r="A76" s="14"/>
      <c r="B76" s="14"/>
      <c r="C76" s="14"/>
      <c r="D76" s="14"/>
      <c r="E76" s="12">
        <v>5.0</v>
      </c>
      <c r="F76" s="13" t="s">
        <v>114</v>
      </c>
      <c r="G76" s="13" t="s">
        <v>96</v>
      </c>
    </row>
    <row r="77" ht="15.75" customHeight="1">
      <c r="A77" s="14"/>
      <c r="B77" s="14"/>
      <c r="C77" s="14"/>
      <c r="D77" s="14"/>
      <c r="E77" s="12">
        <v>6.0</v>
      </c>
      <c r="F77" s="13" t="s">
        <v>115</v>
      </c>
      <c r="G77" s="13" t="s">
        <v>96</v>
      </c>
    </row>
    <row r="78" ht="15.75" customHeight="1">
      <c r="A78" s="14"/>
      <c r="B78" s="14"/>
      <c r="C78" s="15"/>
      <c r="D78" s="15"/>
      <c r="E78" s="12">
        <v>7.0</v>
      </c>
      <c r="F78" s="13" t="s">
        <v>85</v>
      </c>
      <c r="G78" s="13" t="s">
        <v>96</v>
      </c>
    </row>
    <row r="79" ht="15.75" customHeight="1">
      <c r="A79" s="14"/>
      <c r="B79" s="14"/>
      <c r="C79" s="9">
        <v>12.0</v>
      </c>
      <c r="D79" s="11" t="s">
        <v>116</v>
      </c>
      <c r="E79" s="12">
        <v>1.0</v>
      </c>
      <c r="F79" s="13" t="s">
        <v>117</v>
      </c>
      <c r="G79" s="13" t="s">
        <v>96</v>
      </c>
    </row>
    <row r="80" ht="15.75" customHeight="1">
      <c r="A80" s="14"/>
      <c r="B80" s="14"/>
      <c r="C80" s="14"/>
      <c r="D80" s="14"/>
      <c r="E80" s="12">
        <v>2.0</v>
      </c>
      <c r="F80" s="13" t="s">
        <v>118</v>
      </c>
      <c r="G80" s="13" t="s">
        <v>96</v>
      </c>
    </row>
    <row r="81" ht="15.75" customHeight="1">
      <c r="A81" s="14"/>
      <c r="B81" s="14"/>
      <c r="C81" s="14"/>
      <c r="D81" s="14"/>
      <c r="E81" s="12">
        <v>3.0</v>
      </c>
      <c r="F81" s="13" t="s">
        <v>119</v>
      </c>
      <c r="G81" s="13" t="s">
        <v>96</v>
      </c>
    </row>
    <row r="82" ht="15.75" customHeight="1">
      <c r="A82" s="14"/>
      <c r="B82" s="14"/>
      <c r="C82" s="14"/>
      <c r="D82" s="14"/>
      <c r="E82" s="12">
        <v>4.0</v>
      </c>
      <c r="F82" s="13" t="s">
        <v>120</v>
      </c>
      <c r="G82" s="13" t="s">
        <v>96</v>
      </c>
    </row>
    <row r="83" ht="15.75" customHeight="1">
      <c r="A83" s="14"/>
      <c r="B83" s="14"/>
      <c r="C83" s="14"/>
      <c r="D83" s="14"/>
      <c r="E83" s="12">
        <v>5.0</v>
      </c>
      <c r="F83" s="13" t="s">
        <v>121</v>
      </c>
      <c r="G83" s="13" t="s">
        <v>96</v>
      </c>
    </row>
    <row r="84" ht="15.75" customHeight="1">
      <c r="A84" s="14"/>
      <c r="B84" s="14"/>
      <c r="C84" s="14"/>
      <c r="D84" s="14"/>
      <c r="E84" s="12">
        <v>6.0</v>
      </c>
      <c r="F84" s="13" t="s">
        <v>122</v>
      </c>
      <c r="G84" s="13" t="s">
        <v>96</v>
      </c>
    </row>
    <row r="85" ht="15.75" customHeight="1">
      <c r="A85" s="15"/>
      <c r="B85" s="15"/>
      <c r="C85" s="15"/>
      <c r="D85" s="15"/>
      <c r="E85" s="12">
        <v>7.0</v>
      </c>
      <c r="F85" s="13" t="s">
        <v>123</v>
      </c>
      <c r="G85" s="13" t="s">
        <v>96</v>
      </c>
    </row>
    <row r="86" ht="15.75" customHeight="1">
      <c r="A86" s="9">
        <v>4.0</v>
      </c>
      <c r="B86" s="17" t="s">
        <v>124</v>
      </c>
      <c r="C86" s="9">
        <v>13.0</v>
      </c>
      <c r="D86" s="11" t="s">
        <v>125</v>
      </c>
      <c r="E86" s="12">
        <v>1.0</v>
      </c>
      <c r="F86" s="13" t="s">
        <v>126</v>
      </c>
      <c r="G86" s="13" t="s">
        <v>96</v>
      </c>
    </row>
    <row r="87" ht="15.75" customHeight="1">
      <c r="A87" s="14"/>
      <c r="B87" s="14"/>
      <c r="C87" s="14"/>
      <c r="D87" s="14"/>
      <c r="E87" s="12">
        <v>2.0</v>
      </c>
      <c r="F87" s="13" t="s">
        <v>127</v>
      </c>
      <c r="G87" s="13" t="s">
        <v>96</v>
      </c>
    </row>
    <row r="88" ht="15.75" customHeight="1">
      <c r="A88" s="14"/>
      <c r="B88" s="14"/>
      <c r="C88" s="14"/>
      <c r="D88" s="14"/>
      <c r="E88" s="12">
        <v>3.0</v>
      </c>
      <c r="F88" s="13" t="s">
        <v>128</v>
      </c>
      <c r="G88" s="13" t="s">
        <v>96</v>
      </c>
    </row>
    <row r="89" ht="15.75" customHeight="1">
      <c r="A89" s="14"/>
      <c r="B89" s="14"/>
      <c r="C89" s="14"/>
      <c r="D89" s="14"/>
      <c r="E89" s="12">
        <v>4.0</v>
      </c>
      <c r="F89" s="13" t="s">
        <v>129</v>
      </c>
      <c r="G89" s="13" t="s">
        <v>96</v>
      </c>
    </row>
    <row r="90" ht="15.75" customHeight="1">
      <c r="A90" s="14"/>
      <c r="B90" s="14"/>
      <c r="C90" s="14"/>
      <c r="D90" s="14"/>
      <c r="E90" s="12">
        <v>5.0</v>
      </c>
      <c r="F90" s="13" t="s">
        <v>130</v>
      </c>
      <c r="G90" s="13" t="s">
        <v>96</v>
      </c>
    </row>
    <row r="91" ht="15.75" customHeight="1">
      <c r="A91" s="14"/>
      <c r="B91" s="14"/>
      <c r="C91" s="14"/>
      <c r="D91" s="14"/>
      <c r="E91" s="12">
        <v>6.0</v>
      </c>
      <c r="F91" s="13" t="s">
        <v>131</v>
      </c>
      <c r="G91" s="13" t="s">
        <v>96</v>
      </c>
    </row>
    <row r="92" ht="15.75" customHeight="1">
      <c r="A92" s="14"/>
      <c r="B92" s="14"/>
      <c r="C92" s="15"/>
      <c r="D92" s="15"/>
      <c r="E92" s="12">
        <v>7.0</v>
      </c>
      <c r="F92" s="13" t="s">
        <v>132</v>
      </c>
      <c r="G92" s="13" t="s">
        <v>96</v>
      </c>
    </row>
    <row r="93" ht="15.75" customHeight="1">
      <c r="A93" s="14"/>
      <c r="B93" s="14"/>
      <c r="C93" s="9">
        <v>14.0</v>
      </c>
      <c r="D93" s="11" t="s">
        <v>133</v>
      </c>
      <c r="E93" s="12">
        <v>1.0</v>
      </c>
      <c r="F93" s="13" t="s">
        <v>134</v>
      </c>
      <c r="G93" s="13" t="s">
        <v>96</v>
      </c>
    </row>
    <row r="94" ht="15.75" customHeight="1">
      <c r="A94" s="14"/>
      <c r="B94" s="14"/>
      <c r="C94" s="14"/>
      <c r="D94" s="14"/>
      <c r="E94" s="12">
        <v>2.0</v>
      </c>
      <c r="F94" s="13" t="s">
        <v>135</v>
      </c>
      <c r="G94" s="13" t="s">
        <v>96</v>
      </c>
    </row>
    <row r="95" ht="15.75" customHeight="1">
      <c r="A95" s="14"/>
      <c r="B95" s="14"/>
      <c r="C95" s="14"/>
      <c r="D95" s="14"/>
      <c r="E95" s="12">
        <v>3.0</v>
      </c>
      <c r="F95" s="13" t="s">
        <v>136</v>
      </c>
      <c r="G95" s="13" t="s">
        <v>96</v>
      </c>
    </row>
    <row r="96" ht="15.75" customHeight="1">
      <c r="A96" s="14"/>
      <c r="B96" s="14"/>
      <c r="C96" s="14"/>
      <c r="D96" s="14"/>
      <c r="E96" s="12">
        <v>4.0</v>
      </c>
      <c r="F96" s="13" t="s">
        <v>137</v>
      </c>
      <c r="G96" s="13" t="s">
        <v>96</v>
      </c>
    </row>
    <row r="97" ht="15.75" customHeight="1">
      <c r="A97" s="14"/>
      <c r="B97" s="14"/>
      <c r="C97" s="14"/>
      <c r="D97" s="14"/>
      <c r="E97" s="12">
        <v>5.0</v>
      </c>
      <c r="F97" s="13" t="s">
        <v>138</v>
      </c>
      <c r="G97" s="13" t="s">
        <v>96</v>
      </c>
    </row>
    <row r="98" ht="15.75" customHeight="1">
      <c r="A98" s="14"/>
      <c r="B98" s="14"/>
      <c r="C98" s="14"/>
      <c r="D98" s="14"/>
      <c r="E98" s="12">
        <v>6.0</v>
      </c>
      <c r="F98" s="13" t="s">
        <v>139</v>
      </c>
      <c r="G98" s="13" t="s">
        <v>96</v>
      </c>
    </row>
    <row r="99" ht="15.75" customHeight="1">
      <c r="A99" s="15"/>
      <c r="B99" s="15"/>
      <c r="C99" s="15"/>
      <c r="D99" s="15"/>
      <c r="E99" s="12">
        <v>7.0</v>
      </c>
      <c r="F99" s="13" t="s">
        <v>140</v>
      </c>
      <c r="G99" s="13" t="s">
        <v>96</v>
      </c>
    </row>
    <row r="100" ht="15.75" customHeight="1">
      <c r="B100" s="20"/>
      <c r="D100" s="21"/>
    </row>
    <row r="101" ht="15.75" customHeight="1">
      <c r="B101" s="20"/>
      <c r="D101" s="21"/>
    </row>
    <row r="102" ht="15.75" customHeight="1">
      <c r="B102" s="20"/>
      <c r="D102" s="21"/>
    </row>
    <row r="103" ht="15.75" customHeight="1">
      <c r="B103" s="20"/>
      <c r="D103" s="21"/>
    </row>
    <row r="104" ht="15.75" customHeight="1">
      <c r="B104" s="20"/>
      <c r="D104" s="21"/>
    </row>
    <row r="105" ht="15.75" customHeight="1">
      <c r="B105" s="20"/>
      <c r="D105" s="21"/>
    </row>
    <row r="106" ht="15.75" customHeight="1">
      <c r="B106" s="20"/>
      <c r="D106" s="21"/>
    </row>
    <row r="107" ht="15.75" customHeight="1">
      <c r="B107" s="20"/>
      <c r="D107" s="21"/>
    </row>
    <row r="108" ht="15.75" customHeight="1">
      <c r="B108" s="20"/>
      <c r="D108" s="21"/>
    </row>
    <row r="109" ht="15.75" customHeight="1">
      <c r="B109" s="20"/>
      <c r="D109" s="21"/>
    </row>
    <row r="110" ht="15.75" customHeight="1">
      <c r="B110" s="20"/>
      <c r="D110" s="21"/>
    </row>
    <row r="111" ht="15.75" customHeight="1">
      <c r="B111" s="20"/>
      <c r="D111" s="21"/>
    </row>
    <row r="112" ht="15.75" customHeight="1">
      <c r="B112" s="20"/>
      <c r="D112" s="21"/>
    </row>
    <row r="113" ht="15.75" customHeight="1">
      <c r="B113" s="20"/>
      <c r="D113" s="21"/>
    </row>
    <row r="114" ht="15.75" customHeight="1">
      <c r="B114" s="20"/>
      <c r="D114" s="21"/>
    </row>
    <row r="115" ht="15.75" customHeight="1">
      <c r="B115" s="20"/>
      <c r="D115" s="21"/>
    </row>
    <row r="116" ht="15.75" customHeight="1">
      <c r="B116" s="20"/>
      <c r="D116" s="21"/>
    </row>
    <row r="117" ht="15.75" customHeight="1">
      <c r="B117" s="20"/>
      <c r="D117" s="21"/>
    </row>
    <row r="118" ht="15.75" customHeight="1">
      <c r="B118" s="20"/>
      <c r="D118" s="21"/>
    </row>
    <row r="119" ht="15.75" customHeight="1">
      <c r="B119" s="20"/>
      <c r="D119" s="21"/>
    </row>
    <row r="120" ht="15.75" customHeight="1">
      <c r="B120" s="20"/>
      <c r="D120" s="21"/>
    </row>
    <row r="121" ht="15.75" customHeight="1">
      <c r="B121" s="20"/>
      <c r="D121" s="21"/>
    </row>
    <row r="122" ht="15.75" customHeight="1">
      <c r="B122" s="20"/>
      <c r="D122" s="21"/>
    </row>
    <row r="123" ht="15.75" customHeight="1">
      <c r="B123" s="20"/>
      <c r="D123" s="21"/>
    </row>
    <row r="124" ht="15.75" customHeight="1">
      <c r="B124" s="20"/>
      <c r="D124" s="21"/>
    </row>
    <row r="125" ht="15.75" customHeight="1">
      <c r="B125" s="20"/>
      <c r="D125" s="21"/>
    </row>
    <row r="126" ht="15.75" customHeight="1">
      <c r="B126" s="20"/>
      <c r="D126" s="21"/>
    </row>
    <row r="127" ht="15.75" customHeight="1">
      <c r="B127" s="20"/>
      <c r="D127" s="21"/>
    </row>
    <row r="128" ht="15.75" customHeight="1">
      <c r="B128" s="20"/>
      <c r="D128" s="21"/>
    </row>
    <row r="129" ht="15.75" customHeight="1">
      <c r="B129" s="20"/>
      <c r="D129" s="21"/>
    </row>
    <row r="130" ht="15.75" customHeight="1">
      <c r="B130" s="20"/>
      <c r="D130" s="21"/>
    </row>
    <row r="131" ht="15.75" customHeight="1">
      <c r="B131" s="20"/>
      <c r="D131" s="21"/>
    </row>
    <row r="132" ht="15.75" customHeight="1">
      <c r="B132" s="20"/>
      <c r="D132" s="21"/>
    </row>
    <row r="133" ht="15.75" customHeight="1">
      <c r="B133" s="20"/>
      <c r="D133" s="21"/>
    </row>
    <row r="134" ht="15.75" customHeight="1">
      <c r="B134" s="20"/>
      <c r="D134" s="21"/>
    </row>
    <row r="135" ht="15.75" customHeight="1">
      <c r="B135" s="20"/>
      <c r="D135" s="21"/>
    </row>
    <row r="136" ht="15.75" customHeight="1">
      <c r="B136" s="20"/>
      <c r="D136" s="21"/>
    </row>
    <row r="137" ht="15.75" customHeight="1">
      <c r="B137" s="20"/>
      <c r="D137" s="21"/>
    </row>
    <row r="138" ht="15.75" customHeight="1">
      <c r="B138" s="20"/>
      <c r="D138" s="21"/>
    </row>
    <row r="139" ht="15.75" customHeight="1">
      <c r="B139" s="20"/>
      <c r="D139" s="21"/>
    </row>
    <row r="140" ht="15.75" customHeight="1">
      <c r="B140" s="20"/>
      <c r="D140" s="21"/>
    </row>
    <row r="141" ht="15.75" customHeight="1">
      <c r="B141" s="20"/>
      <c r="D141" s="21"/>
    </row>
    <row r="142" ht="15.75" customHeight="1">
      <c r="B142" s="20"/>
      <c r="D142" s="21"/>
    </row>
    <row r="143" ht="15.75" customHeight="1">
      <c r="B143" s="20"/>
      <c r="D143" s="21"/>
    </row>
    <row r="144" ht="15.75" customHeight="1">
      <c r="B144" s="20"/>
      <c r="D144" s="21"/>
    </row>
    <row r="145" ht="15.75" customHeight="1">
      <c r="B145" s="20"/>
      <c r="D145" s="21"/>
    </row>
    <row r="146" ht="15.75" customHeight="1">
      <c r="B146" s="20"/>
      <c r="D146" s="21"/>
    </row>
    <row r="147" ht="15.75" customHeight="1">
      <c r="B147" s="20"/>
      <c r="D147" s="21"/>
    </row>
    <row r="148" ht="15.75" customHeight="1">
      <c r="B148" s="20"/>
      <c r="D148" s="21"/>
    </row>
    <row r="149" ht="15.75" customHeight="1">
      <c r="B149" s="20"/>
      <c r="D149" s="21"/>
    </row>
    <row r="150" ht="15.75" customHeight="1">
      <c r="B150" s="20"/>
      <c r="D150" s="21"/>
    </row>
    <row r="151" ht="15.75" customHeight="1">
      <c r="B151" s="20"/>
      <c r="D151" s="21"/>
    </row>
    <row r="152" ht="15.75" customHeight="1">
      <c r="B152" s="20"/>
      <c r="D152" s="21"/>
    </row>
    <row r="153" ht="15.75" customHeight="1">
      <c r="B153" s="20"/>
      <c r="D153" s="21"/>
    </row>
    <row r="154" ht="15.75" customHeight="1">
      <c r="B154" s="20"/>
      <c r="D154" s="21"/>
    </row>
    <row r="155" ht="15.75" customHeight="1">
      <c r="B155" s="20"/>
      <c r="D155" s="21"/>
    </row>
    <row r="156" ht="15.75" customHeight="1">
      <c r="B156" s="20"/>
      <c r="D156" s="21"/>
    </row>
    <row r="157" ht="15.75" customHeight="1">
      <c r="B157" s="20"/>
      <c r="D157" s="21"/>
    </row>
    <row r="158" ht="15.75" customHeight="1">
      <c r="B158" s="20"/>
      <c r="D158" s="21"/>
    </row>
    <row r="159" ht="15.75" customHeight="1">
      <c r="B159" s="20"/>
      <c r="D159" s="21"/>
    </row>
    <row r="160" ht="15.75" customHeight="1">
      <c r="B160" s="20"/>
      <c r="D160" s="21"/>
    </row>
    <row r="161" ht="15.75" customHeight="1">
      <c r="B161" s="20"/>
      <c r="D161" s="21"/>
    </row>
    <row r="162" ht="15.75" customHeight="1">
      <c r="B162" s="20"/>
      <c r="D162" s="21"/>
    </row>
    <row r="163" ht="15.75" customHeight="1">
      <c r="B163" s="20"/>
      <c r="D163" s="21"/>
    </row>
    <row r="164" ht="15.75" customHeight="1">
      <c r="B164" s="20"/>
      <c r="D164" s="21"/>
    </row>
    <row r="165" ht="15.75" customHeight="1">
      <c r="B165" s="20"/>
      <c r="D165" s="21"/>
    </row>
    <row r="166" ht="15.75" customHeight="1">
      <c r="B166" s="20"/>
      <c r="D166" s="21"/>
    </row>
    <row r="167" ht="15.75" customHeight="1">
      <c r="B167" s="20"/>
      <c r="D167" s="21"/>
    </row>
    <row r="168" ht="15.75" customHeight="1">
      <c r="B168" s="20"/>
      <c r="D168" s="21"/>
    </row>
    <row r="169" ht="15.75" customHeight="1">
      <c r="B169" s="20"/>
      <c r="D169" s="21"/>
    </row>
    <row r="170" ht="15.75" customHeight="1">
      <c r="B170" s="20"/>
      <c r="D170" s="21"/>
    </row>
    <row r="171" ht="15.75" customHeight="1">
      <c r="B171" s="20"/>
      <c r="D171" s="21"/>
    </row>
    <row r="172" ht="15.75" customHeight="1">
      <c r="B172" s="20"/>
      <c r="D172" s="21"/>
    </row>
    <row r="173" ht="15.75" customHeight="1">
      <c r="B173" s="20"/>
      <c r="D173" s="21"/>
    </row>
    <row r="174" ht="15.75" customHeight="1">
      <c r="B174" s="20"/>
      <c r="D174" s="21"/>
    </row>
    <row r="175" ht="15.75" customHeight="1">
      <c r="B175" s="20"/>
      <c r="D175" s="21"/>
    </row>
    <row r="176" ht="15.75" customHeight="1">
      <c r="B176" s="20"/>
      <c r="D176" s="21"/>
    </row>
    <row r="177" ht="15.75" customHeight="1">
      <c r="B177" s="20"/>
      <c r="D177" s="21"/>
    </row>
    <row r="178" ht="15.75" customHeight="1">
      <c r="B178" s="20"/>
      <c r="D178" s="21"/>
    </row>
    <row r="179" ht="15.75" customHeight="1">
      <c r="B179" s="20"/>
      <c r="D179" s="21"/>
    </row>
    <row r="180" ht="15.75" customHeight="1">
      <c r="B180" s="20"/>
      <c r="D180" s="21"/>
    </row>
    <row r="181" ht="15.75" customHeight="1">
      <c r="B181" s="20"/>
      <c r="D181" s="21"/>
    </row>
    <row r="182" ht="15.75" customHeight="1">
      <c r="B182" s="20"/>
      <c r="D182" s="21"/>
    </row>
    <row r="183" ht="15.75" customHeight="1">
      <c r="B183" s="20"/>
      <c r="D183" s="21"/>
    </row>
    <row r="184" ht="15.75" customHeight="1">
      <c r="B184" s="20"/>
      <c r="D184" s="21"/>
    </row>
    <row r="185" ht="15.75" customHeight="1">
      <c r="B185" s="20"/>
      <c r="D185" s="21"/>
    </row>
    <row r="186" ht="15.75" customHeight="1">
      <c r="B186" s="20"/>
      <c r="D186" s="21"/>
    </row>
    <row r="187" ht="15.75" customHeight="1">
      <c r="B187" s="20"/>
      <c r="D187" s="21"/>
    </row>
    <row r="188" ht="15.75" customHeight="1">
      <c r="B188" s="20"/>
      <c r="D188" s="21"/>
    </row>
    <row r="189" ht="15.75" customHeight="1">
      <c r="B189" s="20"/>
      <c r="D189" s="21"/>
    </row>
    <row r="190" ht="15.75" customHeight="1">
      <c r="B190" s="20"/>
      <c r="D190" s="21"/>
    </row>
    <row r="191" ht="15.75" customHeight="1">
      <c r="B191" s="20"/>
      <c r="D191" s="21"/>
    </row>
    <row r="192" ht="15.75" customHeight="1">
      <c r="B192" s="20"/>
      <c r="D192" s="21"/>
    </row>
    <row r="193" ht="15.75" customHeight="1">
      <c r="B193" s="20"/>
      <c r="D193" s="21"/>
    </row>
    <row r="194" ht="15.75" customHeight="1">
      <c r="B194" s="20"/>
      <c r="D194" s="21"/>
    </row>
    <row r="195" ht="15.75" customHeight="1">
      <c r="B195" s="20"/>
      <c r="D195" s="21"/>
    </row>
    <row r="196" ht="15.75" customHeight="1">
      <c r="B196" s="20"/>
      <c r="D196" s="21"/>
    </row>
    <row r="197" ht="15.75" customHeight="1">
      <c r="B197" s="20"/>
      <c r="D197" s="21"/>
    </row>
    <row r="198" ht="15.75" customHeight="1">
      <c r="B198" s="20"/>
      <c r="D198" s="21"/>
    </row>
    <row r="199" ht="15.75" customHeight="1">
      <c r="B199" s="20"/>
      <c r="D199" s="21"/>
    </row>
    <row r="200" ht="15.75" customHeight="1">
      <c r="B200" s="20"/>
      <c r="D200" s="21"/>
    </row>
    <row r="201" ht="15.75" customHeight="1">
      <c r="B201" s="20"/>
      <c r="D201" s="21"/>
    </row>
    <row r="202" ht="15.75" customHeight="1">
      <c r="B202" s="20"/>
      <c r="D202" s="21"/>
    </row>
    <row r="203" ht="15.75" customHeight="1">
      <c r="B203" s="20"/>
      <c r="D203" s="21"/>
    </row>
    <row r="204" ht="15.75" customHeight="1">
      <c r="B204" s="20"/>
      <c r="D204" s="21"/>
    </row>
    <row r="205" ht="15.75" customHeight="1">
      <c r="B205" s="20"/>
      <c r="D205" s="21"/>
    </row>
    <row r="206" ht="15.75" customHeight="1">
      <c r="B206" s="20"/>
      <c r="D206" s="21"/>
    </row>
    <row r="207" ht="15.75" customHeight="1">
      <c r="B207" s="20"/>
      <c r="D207" s="21"/>
    </row>
    <row r="208" ht="15.75" customHeight="1">
      <c r="B208" s="20"/>
      <c r="D208" s="21"/>
    </row>
    <row r="209" ht="15.75" customHeight="1">
      <c r="B209" s="20"/>
      <c r="D209" s="21"/>
    </row>
    <row r="210" ht="15.75" customHeight="1">
      <c r="B210" s="20"/>
      <c r="D210" s="21"/>
    </row>
    <row r="211" ht="15.75" customHeight="1">
      <c r="B211" s="20"/>
      <c r="D211" s="21"/>
    </row>
    <row r="212" ht="15.75" customHeight="1">
      <c r="B212" s="20"/>
      <c r="D212" s="21"/>
    </row>
    <row r="213" ht="15.75" customHeight="1">
      <c r="B213" s="20"/>
      <c r="D213" s="21"/>
    </row>
    <row r="214" ht="15.75" customHeight="1">
      <c r="B214" s="20"/>
      <c r="D214" s="21"/>
    </row>
    <row r="215" ht="15.75" customHeight="1">
      <c r="B215" s="20"/>
      <c r="D215" s="21"/>
    </row>
    <row r="216" ht="15.75" customHeight="1">
      <c r="B216" s="20"/>
      <c r="D216" s="21"/>
    </row>
    <row r="217" ht="15.75" customHeight="1">
      <c r="B217" s="20"/>
      <c r="D217" s="21"/>
    </row>
    <row r="218" ht="15.75" customHeight="1">
      <c r="B218" s="20"/>
      <c r="D218" s="21"/>
    </row>
    <row r="219" ht="15.75" customHeight="1">
      <c r="B219" s="20"/>
      <c r="D219" s="21"/>
    </row>
    <row r="220" ht="15.75" customHeight="1">
      <c r="B220" s="20"/>
      <c r="D220" s="21"/>
    </row>
    <row r="221" ht="15.75" customHeight="1">
      <c r="B221" s="20"/>
      <c r="D221" s="21"/>
    </row>
    <row r="222" ht="15.75" customHeight="1">
      <c r="B222" s="20"/>
      <c r="D222" s="21"/>
    </row>
    <row r="223" ht="15.75" customHeight="1">
      <c r="B223" s="20"/>
      <c r="D223" s="21"/>
    </row>
    <row r="224" ht="15.75" customHeight="1">
      <c r="B224" s="20"/>
      <c r="D224" s="21"/>
    </row>
    <row r="225" ht="15.75" customHeight="1">
      <c r="B225" s="20"/>
      <c r="D225" s="21"/>
    </row>
    <row r="226" ht="15.75" customHeight="1">
      <c r="B226" s="20"/>
      <c r="D226" s="21"/>
    </row>
    <row r="227" ht="15.75" customHeight="1">
      <c r="B227" s="20"/>
      <c r="D227" s="21"/>
    </row>
    <row r="228" ht="15.75" customHeight="1">
      <c r="B228" s="20"/>
      <c r="D228" s="21"/>
    </row>
    <row r="229" ht="15.75" customHeight="1">
      <c r="B229" s="20"/>
      <c r="D229" s="21"/>
    </row>
    <row r="230" ht="15.75" customHeight="1">
      <c r="B230" s="20"/>
      <c r="D230" s="21"/>
    </row>
    <row r="231" ht="15.75" customHeight="1">
      <c r="B231" s="20"/>
      <c r="D231" s="21"/>
    </row>
    <row r="232" ht="15.75" customHeight="1">
      <c r="B232" s="20"/>
      <c r="D232" s="21"/>
    </row>
    <row r="233" ht="15.75" customHeight="1">
      <c r="B233" s="20"/>
      <c r="D233" s="21"/>
    </row>
    <row r="234" ht="15.75" customHeight="1">
      <c r="B234" s="20"/>
      <c r="D234" s="21"/>
    </row>
    <row r="235" ht="15.75" customHeight="1">
      <c r="B235" s="20"/>
      <c r="D235" s="21"/>
    </row>
    <row r="236" ht="15.75" customHeight="1">
      <c r="B236" s="20"/>
      <c r="D236" s="21"/>
    </row>
    <row r="237" ht="15.75" customHeight="1">
      <c r="B237" s="20"/>
      <c r="D237" s="21"/>
    </row>
    <row r="238" ht="15.75" customHeight="1">
      <c r="B238" s="20"/>
      <c r="D238" s="21"/>
    </row>
    <row r="239" ht="15.75" customHeight="1">
      <c r="B239" s="20"/>
      <c r="D239" s="21"/>
    </row>
    <row r="240" ht="15.75" customHeight="1">
      <c r="B240" s="20"/>
      <c r="D240" s="21"/>
    </row>
    <row r="241" ht="15.75" customHeight="1">
      <c r="B241" s="20"/>
      <c r="D241" s="21"/>
    </row>
    <row r="242" ht="15.75" customHeight="1">
      <c r="B242" s="20"/>
      <c r="D242" s="21"/>
    </row>
    <row r="243" ht="15.75" customHeight="1">
      <c r="B243" s="20"/>
      <c r="D243" s="21"/>
    </row>
    <row r="244" ht="15.75" customHeight="1">
      <c r="B244" s="20"/>
      <c r="D244" s="21"/>
    </row>
    <row r="245" ht="15.75" customHeight="1">
      <c r="B245" s="20"/>
      <c r="D245" s="21"/>
    </row>
    <row r="246" ht="15.75" customHeight="1">
      <c r="B246" s="20"/>
      <c r="D246" s="21"/>
    </row>
    <row r="247" ht="15.75" customHeight="1">
      <c r="B247" s="20"/>
      <c r="D247" s="21"/>
    </row>
    <row r="248" ht="15.75" customHeight="1">
      <c r="B248" s="20"/>
      <c r="D248" s="21"/>
    </row>
    <row r="249" ht="15.75" customHeight="1">
      <c r="B249" s="20"/>
      <c r="D249" s="21"/>
    </row>
    <row r="250" ht="15.75" customHeight="1">
      <c r="B250" s="20"/>
      <c r="D250" s="21"/>
    </row>
    <row r="251" ht="15.75" customHeight="1">
      <c r="B251" s="20"/>
      <c r="D251" s="21"/>
    </row>
    <row r="252" ht="15.75" customHeight="1">
      <c r="B252" s="20"/>
      <c r="D252" s="21"/>
    </row>
    <row r="253" ht="15.75" customHeight="1">
      <c r="B253" s="20"/>
      <c r="D253" s="21"/>
    </row>
    <row r="254" ht="15.75" customHeight="1">
      <c r="B254" s="20"/>
      <c r="D254" s="21"/>
    </row>
    <row r="255" ht="15.75" customHeight="1">
      <c r="B255" s="20"/>
      <c r="D255" s="21"/>
    </row>
    <row r="256" ht="15.75" customHeight="1">
      <c r="B256" s="20"/>
      <c r="D256" s="21"/>
    </row>
    <row r="257" ht="15.75" customHeight="1">
      <c r="B257" s="20"/>
      <c r="D257" s="21"/>
    </row>
    <row r="258" ht="15.75" customHeight="1">
      <c r="B258" s="20"/>
      <c r="D258" s="21"/>
    </row>
    <row r="259" ht="15.75" customHeight="1">
      <c r="B259" s="20"/>
      <c r="D259" s="21"/>
    </row>
    <row r="260" ht="15.75" customHeight="1">
      <c r="B260" s="20"/>
      <c r="D260" s="21"/>
    </row>
    <row r="261" ht="15.75" customHeight="1">
      <c r="B261" s="20"/>
      <c r="D261" s="21"/>
    </row>
    <row r="262" ht="15.75" customHeight="1">
      <c r="B262" s="20"/>
      <c r="D262" s="21"/>
    </row>
    <row r="263" ht="15.75" customHeight="1">
      <c r="B263" s="20"/>
      <c r="D263" s="21"/>
    </row>
    <row r="264" ht="15.75" customHeight="1">
      <c r="B264" s="20"/>
      <c r="D264" s="21"/>
    </row>
    <row r="265" ht="15.75" customHeight="1">
      <c r="B265" s="20"/>
      <c r="D265" s="21"/>
    </row>
    <row r="266" ht="15.75" customHeight="1">
      <c r="B266" s="20"/>
      <c r="D266" s="21"/>
    </row>
    <row r="267" ht="15.75" customHeight="1">
      <c r="B267" s="20"/>
      <c r="D267" s="21"/>
    </row>
    <row r="268" ht="15.75" customHeight="1">
      <c r="B268" s="20"/>
      <c r="D268" s="21"/>
    </row>
    <row r="269" ht="15.75" customHeight="1">
      <c r="B269" s="20"/>
      <c r="D269" s="21"/>
    </row>
    <row r="270" ht="15.75" customHeight="1">
      <c r="B270" s="20"/>
      <c r="D270" s="21"/>
    </row>
    <row r="271" ht="15.75" customHeight="1">
      <c r="B271" s="20"/>
      <c r="D271" s="21"/>
    </row>
    <row r="272" ht="15.75" customHeight="1">
      <c r="B272" s="20"/>
      <c r="D272" s="21"/>
    </row>
    <row r="273" ht="15.75" customHeight="1">
      <c r="B273" s="20"/>
      <c r="D273" s="21"/>
    </row>
    <row r="274" ht="15.75" customHeight="1">
      <c r="B274" s="20"/>
      <c r="D274" s="21"/>
    </row>
    <row r="275" ht="15.75" customHeight="1">
      <c r="B275" s="20"/>
      <c r="D275" s="21"/>
    </row>
    <row r="276" ht="15.75" customHeight="1">
      <c r="B276" s="20"/>
      <c r="D276" s="21"/>
    </row>
    <row r="277" ht="15.75" customHeight="1">
      <c r="B277" s="20"/>
      <c r="D277" s="21"/>
    </row>
    <row r="278" ht="15.75" customHeight="1">
      <c r="B278" s="20"/>
      <c r="D278" s="21"/>
    </row>
    <row r="279" ht="15.75" customHeight="1">
      <c r="B279" s="20"/>
      <c r="D279" s="21"/>
    </row>
    <row r="280" ht="15.75" customHeight="1">
      <c r="B280" s="20"/>
      <c r="D280" s="21"/>
    </row>
    <row r="281" ht="15.75" customHeight="1">
      <c r="B281" s="20"/>
      <c r="D281" s="21"/>
    </row>
    <row r="282" ht="15.75" customHeight="1">
      <c r="B282" s="20"/>
      <c r="D282" s="21"/>
    </row>
    <row r="283" ht="15.75" customHeight="1">
      <c r="B283" s="20"/>
      <c r="D283" s="21"/>
    </row>
    <row r="284" ht="15.75" customHeight="1">
      <c r="B284" s="20"/>
      <c r="D284" s="21"/>
    </row>
    <row r="285" ht="15.75" customHeight="1">
      <c r="B285" s="20"/>
      <c r="D285" s="21"/>
    </row>
    <row r="286" ht="15.75" customHeight="1">
      <c r="B286" s="20"/>
      <c r="D286" s="21"/>
    </row>
    <row r="287" ht="15.75" customHeight="1">
      <c r="B287" s="20"/>
      <c r="D287" s="21"/>
    </row>
    <row r="288" ht="15.75" customHeight="1">
      <c r="B288" s="20"/>
      <c r="D288" s="21"/>
    </row>
    <row r="289" ht="15.75" customHeight="1">
      <c r="B289" s="20"/>
      <c r="D289" s="21"/>
    </row>
    <row r="290" ht="15.75" customHeight="1">
      <c r="B290" s="20"/>
      <c r="D290" s="21"/>
    </row>
    <row r="291" ht="15.75" customHeight="1">
      <c r="B291" s="20"/>
      <c r="D291" s="21"/>
    </row>
    <row r="292" ht="15.75" customHeight="1">
      <c r="B292" s="20"/>
      <c r="D292" s="21"/>
    </row>
    <row r="293" ht="15.75" customHeight="1">
      <c r="B293" s="20"/>
      <c r="D293" s="21"/>
    </row>
    <row r="294" ht="15.75" customHeight="1">
      <c r="B294" s="20"/>
      <c r="D294" s="21"/>
    </row>
    <row r="295" ht="15.75" customHeight="1">
      <c r="B295" s="20"/>
      <c r="D295" s="21"/>
    </row>
    <row r="296" ht="15.75" customHeight="1">
      <c r="B296" s="20"/>
      <c r="D296" s="21"/>
    </row>
    <row r="297" ht="15.75" customHeight="1">
      <c r="B297" s="20"/>
      <c r="D297" s="21"/>
    </row>
    <row r="298" ht="15.75" customHeight="1">
      <c r="B298" s="20"/>
      <c r="D298" s="21"/>
    </row>
    <row r="299" ht="15.75" customHeight="1">
      <c r="B299" s="20"/>
      <c r="D299" s="21"/>
    </row>
    <row r="300" ht="15.75" customHeight="1">
      <c r="B300" s="22"/>
      <c r="D300" s="21"/>
    </row>
    <row r="301" ht="15.75" customHeight="1">
      <c r="B301" s="22"/>
      <c r="D301" s="21"/>
    </row>
    <row r="302" ht="15.75" customHeight="1">
      <c r="B302" s="22"/>
      <c r="D302" s="21"/>
    </row>
    <row r="303" ht="15.75" customHeight="1">
      <c r="B303" s="22"/>
      <c r="D303" s="21"/>
    </row>
    <row r="304" ht="15.75" customHeight="1">
      <c r="B304" s="22"/>
      <c r="D304" s="21"/>
    </row>
    <row r="305" ht="15.75" customHeight="1">
      <c r="B305" s="22"/>
      <c r="D305" s="21"/>
    </row>
    <row r="306" ht="15.75" customHeight="1">
      <c r="B306" s="22"/>
      <c r="D306" s="21"/>
    </row>
    <row r="307" ht="15.75" customHeight="1">
      <c r="B307" s="22"/>
      <c r="D307" s="21"/>
    </row>
    <row r="308" ht="15.75" customHeight="1">
      <c r="B308" s="22"/>
      <c r="D308" s="21"/>
    </row>
    <row r="309" ht="15.75" customHeight="1">
      <c r="B309" s="22"/>
      <c r="D309" s="21"/>
    </row>
    <row r="310" ht="15.75" customHeight="1">
      <c r="B310" s="22"/>
      <c r="D310" s="21"/>
    </row>
    <row r="311" ht="15.75" customHeight="1">
      <c r="B311" s="22"/>
      <c r="D311" s="21"/>
    </row>
    <row r="312" ht="15.75" customHeight="1">
      <c r="B312" s="22"/>
      <c r="D312" s="21"/>
    </row>
    <row r="313" ht="15.75" customHeight="1">
      <c r="B313" s="22"/>
      <c r="D313" s="21"/>
    </row>
    <row r="314" ht="15.75" customHeight="1">
      <c r="B314" s="22"/>
      <c r="D314" s="21"/>
    </row>
    <row r="315" ht="15.75" customHeight="1">
      <c r="B315" s="22"/>
      <c r="D315" s="21"/>
    </row>
    <row r="316" ht="15.75" customHeight="1">
      <c r="B316" s="22"/>
      <c r="D316" s="21"/>
    </row>
    <row r="317" ht="15.75" customHeight="1">
      <c r="B317" s="22"/>
      <c r="D317" s="21"/>
    </row>
    <row r="318" ht="15.75" customHeight="1">
      <c r="B318" s="22"/>
      <c r="D318" s="21"/>
    </row>
    <row r="319" ht="15.75" customHeight="1">
      <c r="B319" s="22"/>
      <c r="D319" s="21"/>
    </row>
    <row r="320" ht="15.75" customHeight="1">
      <c r="B320" s="22"/>
      <c r="D320" s="21"/>
    </row>
    <row r="321" ht="15.75" customHeight="1">
      <c r="B321" s="22"/>
      <c r="D321" s="21"/>
    </row>
    <row r="322" ht="15.75" customHeight="1">
      <c r="B322" s="22"/>
      <c r="D322" s="21"/>
    </row>
    <row r="323" ht="15.75" customHeight="1">
      <c r="B323" s="22"/>
      <c r="D323" s="21"/>
    </row>
    <row r="324" ht="15.75" customHeight="1">
      <c r="B324" s="22"/>
      <c r="D324" s="21"/>
    </row>
    <row r="325" ht="15.75" customHeight="1">
      <c r="B325" s="22"/>
      <c r="D325" s="21"/>
    </row>
    <row r="326" ht="15.75" customHeight="1">
      <c r="B326" s="22"/>
      <c r="D326" s="21"/>
    </row>
    <row r="327" ht="15.75" customHeight="1">
      <c r="B327" s="22"/>
      <c r="D327" s="21"/>
    </row>
    <row r="328" ht="15.75" customHeight="1">
      <c r="B328" s="22"/>
      <c r="D328" s="21"/>
    </row>
    <row r="329" ht="15.75" customHeight="1">
      <c r="B329" s="22"/>
      <c r="D329" s="21"/>
    </row>
    <row r="330" ht="15.75" customHeight="1">
      <c r="B330" s="22"/>
      <c r="D330" s="21"/>
    </row>
    <row r="331" ht="15.75" customHeight="1">
      <c r="B331" s="22"/>
      <c r="D331" s="21"/>
    </row>
    <row r="332" ht="15.75" customHeight="1">
      <c r="B332" s="22"/>
      <c r="D332" s="21"/>
    </row>
    <row r="333" ht="15.75" customHeight="1">
      <c r="B333" s="22"/>
      <c r="D333" s="21"/>
    </row>
    <row r="334" ht="15.75" customHeight="1">
      <c r="B334" s="22"/>
      <c r="D334" s="21"/>
    </row>
    <row r="335" ht="15.75" customHeight="1">
      <c r="B335" s="22"/>
      <c r="D335" s="21"/>
    </row>
    <row r="336" ht="15.75" customHeight="1">
      <c r="B336" s="22"/>
      <c r="D336" s="21"/>
    </row>
    <row r="337" ht="15.75" customHeight="1">
      <c r="B337" s="22"/>
      <c r="D337" s="21"/>
    </row>
    <row r="338" ht="15.75" customHeight="1">
      <c r="B338" s="22"/>
      <c r="D338" s="21"/>
    </row>
    <row r="339" ht="15.75" customHeight="1">
      <c r="B339" s="22"/>
      <c r="D339" s="21"/>
    </row>
    <row r="340" ht="15.75" customHeight="1">
      <c r="B340" s="22"/>
      <c r="D340" s="21"/>
    </row>
    <row r="341" ht="15.75" customHeight="1">
      <c r="B341" s="22"/>
      <c r="D341" s="21"/>
    </row>
    <row r="342" ht="15.75" customHeight="1">
      <c r="B342" s="22"/>
      <c r="D342" s="21"/>
    </row>
    <row r="343" ht="15.75" customHeight="1">
      <c r="B343" s="22"/>
      <c r="D343" s="21"/>
    </row>
    <row r="344" ht="15.75" customHeight="1">
      <c r="B344" s="22"/>
      <c r="D344" s="21"/>
    </row>
    <row r="345" ht="15.75" customHeight="1">
      <c r="B345" s="22"/>
      <c r="D345" s="21"/>
    </row>
    <row r="346" ht="15.75" customHeight="1">
      <c r="B346" s="22"/>
      <c r="D346" s="21"/>
    </row>
    <row r="347" ht="15.75" customHeight="1">
      <c r="B347" s="22"/>
      <c r="D347" s="21"/>
    </row>
    <row r="348" ht="15.75" customHeight="1">
      <c r="B348" s="22"/>
      <c r="D348" s="21"/>
    </row>
    <row r="349" ht="15.75" customHeight="1">
      <c r="B349" s="22"/>
      <c r="D349" s="21"/>
    </row>
    <row r="350" ht="15.75" customHeight="1">
      <c r="B350" s="22"/>
      <c r="D350" s="21"/>
    </row>
    <row r="351" ht="15.75" customHeight="1">
      <c r="B351" s="22"/>
      <c r="D351" s="21"/>
    </row>
    <row r="352" ht="15.75" customHeight="1">
      <c r="B352" s="22"/>
      <c r="D352" s="21"/>
    </row>
    <row r="353" ht="15.75" customHeight="1">
      <c r="B353" s="22"/>
      <c r="D353" s="21"/>
    </row>
    <row r="354" ht="15.75" customHeight="1">
      <c r="B354" s="22"/>
      <c r="D354" s="21"/>
    </row>
    <row r="355" ht="15.75" customHeight="1">
      <c r="B355" s="22"/>
      <c r="D355" s="21"/>
    </row>
    <row r="356" ht="15.75" customHeight="1">
      <c r="B356" s="22"/>
      <c r="D356" s="21"/>
    </row>
    <row r="357" ht="15.75" customHeight="1">
      <c r="B357" s="22"/>
      <c r="D357" s="21"/>
    </row>
    <row r="358" ht="15.75" customHeight="1">
      <c r="B358" s="22"/>
      <c r="D358" s="21"/>
    </row>
    <row r="359" ht="15.75" customHeight="1">
      <c r="B359" s="22"/>
      <c r="D359" s="21"/>
    </row>
    <row r="360" ht="15.75" customHeight="1">
      <c r="B360" s="22"/>
      <c r="D360" s="21"/>
    </row>
    <row r="361" ht="15.75" customHeight="1">
      <c r="B361" s="22"/>
      <c r="D361" s="21"/>
    </row>
    <row r="362" ht="15.75" customHeight="1">
      <c r="B362" s="22"/>
      <c r="D362" s="21"/>
    </row>
    <row r="363" ht="15.75" customHeight="1">
      <c r="B363" s="22"/>
      <c r="D363" s="21"/>
    </row>
    <row r="364" ht="15.75" customHeight="1">
      <c r="B364" s="22"/>
      <c r="D364" s="21"/>
    </row>
    <row r="365" ht="15.75" customHeight="1">
      <c r="B365" s="22"/>
      <c r="D365" s="21"/>
    </row>
    <row r="366" ht="15.75" customHeight="1">
      <c r="B366" s="22"/>
      <c r="D366" s="21"/>
    </row>
    <row r="367" ht="15.75" customHeight="1">
      <c r="B367" s="22"/>
      <c r="D367" s="21"/>
    </row>
    <row r="368" ht="15.75" customHeight="1">
      <c r="B368" s="22"/>
      <c r="D368" s="21"/>
    </row>
    <row r="369" ht="15.75" customHeight="1">
      <c r="B369" s="22"/>
      <c r="D369" s="21"/>
    </row>
    <row r="370" ht="15.75" customHeight="1">
      <c r="B370" s="22"/>
      <c r="D370" s="21"/>
    </row>
    <row r="371" ht="15.75" customHeight="1">
      <c r="B371" s="22"/>
      <c r="D371" s="21"/>
    </row>
    <row r="372" ht="15.75" customHeight="1">
      <c r="B372" s="22"/>
      <c r="D372" s="21"/>
    </row>
    <row r="373" ht="15.75" customHeight="1">
      <c r="B373" s="22"/>
      <c r="D373" s="21"/>
    </row>
    <row r="374" ht="15.75" customHeight="1">
      <c r="B374" s="22"/>
      <c r="D374" s="21"/>
    </row>
    <row r="375" ht="15.75" customHeight="1">
      <c r="B375" s="22"/>
      <c r="D375" s="21"/>
    </row>
    <row r="376" ht="15.75" customHeight="1">
      <c r="B376" s="22"/>
      <c r="D376" s="21"/>
    </row>
    <row r="377" ht="15.75" customHeight="1">
      <c r="B377" s="22"/>
      <c r="D377" s="21"/>
    </row>
    <row r="378" ht="15.75" customHeight="1">
      <c r="B378" s="22"/>
      <c r="D378" s="21"/>
    </row>
    <row r="379" ht="15.75" customHeight="1">
      <c r="B379" s="22"/>
      <c r="D379" s="21"/>
    </row>
    <row r="380" ht="15.75" customHeight="1">
      <c r="B380" s="22"/>
      <c r="D380" s="21"/>
    </row>
    <row r="381" ht="15.75" customHeight="1">
      <c r="B381" s="22"/>
      <c r="D381" s="21"/>
    </row>
    <row r="382" ht="15.75" customHeight="1">
      <c r="B382" s="22"/>
      <c r="D382" s="21"/>
    </row>
    <row r="383" ht="15.75" customHeight="1">
      <c r="B383" s="22"/>
      <c r="D383" s="21"/>
    </row>
    <row r="384" ht="15.75" customHeight="1">
      <c r="B384" s="22"/>
      <c r="D384" s="21"/>
    </row>
    <row r="385" ht="15.75" customHeight="1">
      <c r="B385" s="22"/>
      <c r="D385" s="21"/>
    </row>
    <row r="386" ht="15.75" customHeight="1">
      <c r="B386" s="22"/>
      <c r="D386" s="21"/>
    </row>
    <row r="387" ht="15.75" customHeight="1">
      <c r="B387" s="22"/>
      <c r="D387" s="21"/>
    </row>
    <row r="388" ht="15.75" customHeight="1">
      <c r="B388" s="22"/>
      <c r="D388" s="21"/>
    </row>
    <row r="389" ht="15.75" customHeight="1">
      <c r="B389" s="22"/>
      <c r="D389" s="21"/>
    </row>
    <row r="390" ht="15.75" customHeight="1">
      <c r="B390" s="22"/>
      <c r="D390" s="21"/>
    </row>
    <row r="391" ht="15.75" customHeight="1">
      <c r="B391" s="22"/>
      <c r="D391" s="21"/>
    </row>
    <row r="392" ht="15.75" customHeight="1">
      <c r="B392" s="22"/>
      <c r="D392" s="21"/>
    </row>
    <row r="393" ht="15.75" customHeight="1">
      <c r="B393" s="22"/>
      <c r="D393" s="21"/>
    </row>
    <row r="394" ht="15.75" customHeight="1">
      <c r="B394" s="22"/>
      <c r="D394" s="21"/>
    </row>
    <row r="395" ht="15.75" customHeight="1">
      <c r="B395" s="22"/>
      <c r="D395" s="21"/>
    </row>
    <row r="396" ht="15.75" customHeight="1">
      <c r="B396" s="22"/>
      <c r="D396" s="21"/>
    </row>
    <row r="397" ht="15.75" customHeight="1">
      <c r="B397" s="22"/>
      <c r="D397" s="21"/>
    </row>
    <row r="398" ht="15.75" customHeight="1">
      <c r="B398" s="22"/>
      <c r="D398" s="21"/>
    </row>
    <row r="399" ht="15.75" customHeight="1">
      <c r="B399" s="22"/>
      <c r="D399" s="21"/>
    </row>
    <row r="400" ht="15.75" customHeight="1">
      <c r="B400" s="22"/>
      <c r="D400" s="21"/>
    </row>
    <row r="401" ht="15.75" customHeight="1">
      <c r="B401" s="22"/>
      <c r="D401" s="21"/>
    </row>
    <row r="402" ht="15.75" customHeight="1">
      <c r="B402" s="22"/>
      <c r="D402" s="21"/>
    </row>
    <row r="403" ht="15.75" customHeight="1">
      <c r="B403" s="22"/>
      <c r="D403" s="21"/>
    </row>
    <row r="404" ht="15.75" customHeight="1">
      <c r="B404" s="22"/>
      <c r="D404" s="21"/>
    </row>
    <row r="405" ht="15.75" customHeight="1">
      <c r="B405" s="22"/>
      <c r="D405" s="21"/>
    </row>
    <row r="406" ht="15.75" customHeight="1">
      <c r="B406" s="22"/>
      <c r="D406" s="21"/>
    </row>
    <row r="407" ht="15.75" customHeight="1">
      <c r="B407" s="22"/>
      <c r="D407" s="21"/>
    </row>
    <row r="408" ht="15.75" customHeight="1">
      <c r="B408" s="22"/>
      <c r="D408" s="21"/>
    </row>
    <row r="409" ht="15.75" customHeight="1">
      <c r="B409" s="22"/>
      <c r="D409" s="21"/>
    </row>
    <row r="410" ht="15.75" customHeight="1">
      <c r="B410" s="22"/>
      <c r="D410" s="21"/>
    </row>
    <row r="411" ht="15.75" customHeight="1">
      <c r="B411" s="22"/>
      <c r="D411" s="21"/>
    </row>
    <row r="412" ht="15.75" customHeight="1">
      <c r="B412" s="22"/>
      <c r="D412" s="21"/>
    </row>
    <row r="413" ht="15.75" customHeight="1">
      <c r="B413" s="22"/>
      <c r="D413" s="21"/>
    </row>
    <row r="414" ht="15.75" customHeight="1">
      <c r="B414" s="22"/>
      <c r="D414" s="21"/>
    </row>
    <row r="415" ht="15.75" customHeight="1">
      <c r="B415" s="22"/>
      <c r="D415" s="21"/>
    </row>
    <row r="416" ht="15.75" customHeight="1">
      <c r="B416" s="22"/>
      <c r="D416" s="21"/>
    </row>
    <row r="417" ht="15.75" customHeight="1">
      <c r="B417" s="22"/>
      <c r="D417" s="21"/>
    </row>
    <row r="418" ht="15.75" customHeight="1">
      <c r="B418" s="22"/>
      <c r="D418" s="21"/>
    </row>
    <row r="419" ht="15.75" customHeight="1">
      <c r="B419" s="22"/>
      <c r="D419" s="21"/>
    </row>
    <row r="420" ht="15.75" customHeight="1">
      <c r="B420" s="22"/>
      <c r="D420" s="21"/>
    </row>
    <row r="421" ht="15.75" customHeight="1">
      <c r="B421" s="22"/>
      <c r="D421" s="21"/>
    </row>
    <row r="422" ht="15.75" customHeight="1">
      <c r="B422" s="22"/>
      <c r="D422" s="21"/>
    </row>
    <row r="423" ht="15.75" customHeight="1">
      <c r="B423" s="22"/>
      <c r="D423" s="21"/>
    </row>
    <row r="424" ht="15.75" customHeight="1">
      <c r="B424" s="22"/>
      <c r="D424" s="21"/>
    </row>
    <row r="425" ht="15.75" customHeight="1">
      <c r="B425" s="22"/>
      <c r="D425" s="21"/>
    </row>
    <row r="426" ht="15.75" customHeight="1">
      <c r="B426" s="22"/>
      <c r="D426" s="21"/>
    </row>
    <row r="427" ht="15.75" customHeight="1">
      <c r="B427" s="22"/>
      <c r="D427" s="21"/>
    </row>
    <row r="428" ht="15.75" customHeight="1">
      <c r="B428" s="22"/>
      <c r="D428" s="21"/>
    </row>
    <row r="429" ht="15.75" customHeight="1">
      <c r="B429" s="22"/>
      <c r="D429" s="21"/>
    </row>
    <row r="430" ht="15.75" customHeight="1">
      <c r="B430" s="22"/>
      <c r="D430" s="21"/>
    </row>
    <row r="431" ht="15.75" customHeight="1">
      <c r="B431" s="22"/>
      <c r="D431" s="21"/>
    </row>
    <row r="432" ht="15.75" customHeight="1">
      <c r="B432" s="22"/>
      <c r="D432" s="21"/>
    </row>
    <row r="433" ht="15.75" customHeight="1">
      <c r="B433" s="22"/>
      <c r="D433" s="21"/>
    </row>
    <row r="434" ht="15.75" customHeight="1">
      <c r="B434" s="22"/>
      <c r="D434" s="21"/>
    </row>
    <row r="435" ht="15.75" customHeight="1">
      <c r="B435" s="22"/>
      <c r="D435" s="21"/>
    </row>
    <row r="436" ht="15.75" customHeight="1">
      <c r="B436" s="22"/>
      <c r="D436" s="21"/>
    </row>
    <row r="437" ht="15.75" customHeight="1">
      <c r="B437" s="22"/>
      <c r="D437" s="21"/>
    </row>
    <row r="438" ht="15.75" customHeight="1">
      <c r="B438" s="22"/>
      <c r="D438" s="21"/>
    </row>
    <row r="439" ht="15.75" customHeight="1">
      <c r="B439" s="22"/>
      <c r="D439" s="21"/>
    </row>
    <row r="440" ht="15.75" customHeight="1">
      <c r="B440" s="22"/>
      <c r="D440" s="21"/>
    </row>
    <row r="441" ht="15.75" customHeight="1">
      <c r="B441" s="22"/>
      <c r="D441" s="21"/>
    </row>
    <row r="442" ht="15.75" customHeight="1">
      <c r="B442" s="22"/>
      <c r="D442" s="21"/>
    </row>
    <row r="443" ht="15.75" customHeight="1">
      <c r="B443" s="22"/>
      <c r="D443" s="21"/>
    </row>
    <row r="444" ht="15.75" customHeight="1">
      <c r="B444" s="22"/>
      <c r="D444" s="21"/>
    </row>
    <row r="445" ht="15.75" customHeight="1">
      <c r="B445" s="22"/>
      <c r="D445" s="21"/>
    </row>
    <row r="446" ht="15.75" customHeight="1">
      <c r="B446" s="22"/>
      <c r="D446" s="21"/>
    </row>
    <row r="447" ht="15.75" customHeight="1">
      <c r="B447" s="22"/>
      <c r="D447" s="21"/>
    </row>
    <row r="448" ht="15.75" customHeight="1">
      <c r="B448" s="22"/>
      <c r="D448" s="21"/>
    </row>
    <row r="449" ht="15.75" customHeight="1">
      <c r="B449" s="22"/>
      <c r="D449" s="21"/>
    </row>
    <row r="450" ht="15.75" customHeight="1">
      <c r="B450" s="22"/>
      <c r="D450" s="21"/>
    </row>
    <row r="451" ht="15.75" customHeight="1">
      <c r="B451" s="22"/>
      <c r="D451" s="21"/>
    </row>
    <row r="452" ht="15.75" customHeight="1">
      <c r="B452" s="22"/>
      <c r="D452" s="21"/>
    </row>
    <row r="453" ht="15.75" customHeight="1">
      <c r="B453" s="22"/>
      <c r="D453" s="21"/>
    </row>
    <row r="454" ht="15.75" customHeight="1">
      <c r="B454" s="22"/>
      <c r="D454" s="21"/>
    </row>
    <row r="455" ht="15.75" customHeight="1">
      <c r="B455" s="22"/>
      <c r="D455" s="21"/>
    </row>
    <row r="456" ht="15.75" customHeight="1">
      <c r="B456" s="22"/>
      <c r="D456" s="21"/>
    </row>
    <row r="457" ht="15.75" customHeight="1">
      <c r="B457" s="22"/>
      <c r="D457" s="21"/>
    </row>
    <row r="458" ht="15.75" customHeight="1">
      <c r="B458" s="22"/>
      <c r="D458" s="21"/>
    </row>
    <row r="459" ht="15.75" customHeight="1">
      <c r="B459" s="22"/>
      <c r="D459" s="21"/>
    </row>
    <row r="460" ht="15.75" customHeight="1">
      <c r="B460" s="22"/>
      <c r="D460" s="21"/>
    </row>
    <row r="461" ht="15.75" customHeight="1">
      <c r="B461" s="22"/>
      <c r="D461" s="21"/>
    </row>
    <row r="462" ht="15.75" customHeight="1">
      <c r="B462" s="22"/>
      <c r="D462" s="21"/>
    </row>
    <row r="463" ht="15.75" customHeight="1">
      <c r="B463" s="22"/>
      <c r="D463" s="21"/>
    </row>
    <row r="464" ht="15.75" customHeight="1">
      <c r="B464" s="22"/>
      <c r="D464" s="21"/>
    </row>
    <row r="465" ht="15.75" customHeight="1">
      <c r="B465" s="22"/>
      <c r="D465" s="21"/>
    </row>
    <row r="466" ht="15.75" customHeight="1">
      <c r="B466" s="22"/>
      <c r="D466" s="21"/>
    </row>
    <row r="467" ht="15.75" customHeight="1">
      <c r="B467" s="22"/>
      <c r="D467" s="21"/>
    </row>
    <row r="468" ht="15.75" customHeight="1">
      <c r="B468" s="22"/>
      <c r="D468" s="21"/>
    </row>
    <row r="469" ht="15.75" customHeight="1">
      <c r="B469" s="22"/>
      <c r="D469" s="21"/>
    </row>
    <row r="470" ht="15.75" customHeight="1">
      <c r="B470" s="22"/>
      <c r="D470" s="21"/>
    </row>
    <row r="471" ht="15.75" customHeight="1">
      <c r="B471" s="22"/>
      <c r="D471" s="21"/>
    </row>
    <row r="472" ht="15.75" customHeight="1">
      <c r="B472" s="22"/>
      <c r="D472" s="21"/>
    </row>
    <row r="473" ht="15.75" customHeight="1">
      <c r="B473" s="22"/>
      <c r="D473" s="21"/>
    </row>
    <row r="474" ht="15.75" customHeight="1">
      <c r="B474" s="22"/>
      <c r="D474" s="21"/>
    </row>
    <row r="475" ht="15.75" customHeight="1">
      <c r="B475" s="22"/>
      <c r="D475" s="21"/>
    </row>
    <row r="476" ht="15.75" customHeight="1">
      <c r="B476" s="22"/>
      <c r="D476" s="21"/>
    </row>
    <row r="477" ht="15.75" customHeight="1">
      <c r="B477" s="22"/>
      <c r="D477" s="21"/>
    </row>
    <row r="478" ht="15.75" customHeight="1">
      <c r="B478" s="22"/>
      <c r="D478" s="21"/>
    </row>
    <row r="479" ht="15.75" customHeight="1">
      <c r="B479" s="22"/>
      <c r="D479" s="21"/>
    </row>
    <row r="480" ht="15.75" customHeight="1">
      <c r="B480" s="22"/>
      <c r="D480" s="21"/>
    </row>
    <row r="481" ht="15.75" customHeight="1">
      <c r="B481" s="22"/>
      <c r="D481" s="21"/>
    </row>
    <row r="482" ht="15.75" customHeight="1">
      <c r="B482" s="22"/>
      <c r="D482" s="21"/>
    </row>
    <row r="483" ht="15.75" customHeight="1">
      <c r="B483" s="22"/>
      <c r="D483" s="21"/>
    </row>
    <row r="484" ht="15.75" customHeight="1">
      <c r="B484" s="22"/>
      <c r="D484" s="21"/>
    </row>
    <row r="485" ht="15.75" customHeight="1">
      <c r="B485" s="22"/>
      <c r="D485" s="21"/>
    </row>
    <row r="486" ht="15.75" customHeight="1">
      <c r="B486" s="22"/>
      <c r="D486" s="21"/>
    </row>
    <row r="487" ht="15.75" customHeight="1">
      <c r="B487" s="22"/>
      <c r="D487" s="21"/>
    </row>
    <row r="488" ht="15.75" customHeight="1">
      <c r="B488" s="22"/>
      <c r="D488" s="21"/>
    </row>
    <row r="489" ht="15.75" customHeight="1">
      <c r="B489" s="22"/>
      <c r="D489" s="21"/>
    </row>
    <row r="490" ht="15.75" customHeight="1">
      <c r="B490" s="22"/>
      <c r="D490" s="21"/>
    </row>
    <row r="491" ht="15.75" customHeight="1">
      <c r="B491" s="22"/>
      <c r="D491" s="21"/>
    </row>
    <row r="492" ht="15.75" customHeight="1">
      <c r="B492" s="22"/>
      <c r="D492" s="21"/>
    </row>
    <row r="493" ht="15.75" customHeight="1">
      <c r="B493" s="22"/>
      <c r="D493" s="21"/>
    </row>
    <row r="494" ht="15.75" customHeight="1">
      <c r="B494" s="22"/>
      <c r="D494" s="21"/>
    </row>
    <row r="495" ht="15.75" customHeight="1">
      <c r="B495" s="22"/>
      <c r="D495" s="21"/>
    </row>
    <row r="496" ht="15.75" customHeight="1">
      <c r="B496" s="22"/>
      <c r="D496" s="21"/>
    </row>
    <row r="497" ht="15.75" customHeight="1">
      <c r="B497" s="22"/>
      <c r="D497" s="21"/>
    </row>
    <row r="498" ht="15.75" customHeight="1">
      <c r="B498" s="22"/>
      <c r="D498" s="21"/>
    </row>
    <row r="499" ht="15.75" customHeight="1">
      <c r="B499" s="22"/>
      <c r="D499" s="21"/>
    </row>
    <row r="500" ht="15.75" customHeight="1">
      <c r="B500" s="22"/>
      <c r="D500" s="21"/>
    </row>
    <row r="501" ht="15.75" customHeight="1">
      <c r="B501" s="22"/>
      <c r="D501" s="21"/>
    </row>
    <row r="502" ht="15.75" customHeight="1">
      <c r="B502" s="22"/>
      <c r="D502" s="21"/>
    </row>
    <row r="503" ht="15.75" customHeight="1">
      <c r="B503" s="22"/>
      <c r="D503" s="21"/>
    </row>
    <row r="504" ht="15.75" customHeight="1">
      <c r="B504" s="22"/>
      <c r="D504" s="21"/>
    </row>
    <row r="505" ht="15.75" customHeight="1">
      <c r="B505" s="22"/>
      <c r="D505" s="21"/>
    </row>
    <row r="506" ht="15.75" customHeight="1">
      <c r="B506" s="22"/>
      <c r="D506" s="21"/>
    </row>
    <row r="507" ht="15.75" customHeight="1">
      <c r="B507" s="22"/>
      <c r="D507" s="21"/>
    </row>
    <row r="508" ht="15.75" customHeight="1">
      <c r="B508" s="22"/>
      <c r="D508" s="21"/>
    </row>
    <row r="509" ht="15.75" customHeight="1">
      <c r="B509" s="22"/>
      <c r="D509" s="21"/>
    </row>
    <row r="510" ht="15.75" customHeight="1">
      <c r="B510" s="22"/>
      <c r="D510" s="21"/>
    </row>
    <row r="511" ht="15.75" customHeight="1">
      <c r="B511" s="22"/>
      <c r="D511" s="21"/>
    </row>
    <row r="512" ht="15.75" customHeight="1">
      <c r="B512" s="22"/>
      <c r="D512" s="21"/>
    </row>
    <row r="513" ht="15.75" customHeight="1">
      <c r="B513" s="22"/>
      <c r="D513" s="21"/>
    </row>
    <row r="514" ht="15.75" customHeight="1">
      <c r="B514" s="22"/>
      <c r="D514" s="21"/>
    </row>
    <row r="515" ht="15.75" customHeight="1">
      <c r="B515" s="22"/>
      <c r="D515" s="21"/>
    </row>
    <row r="516" ht="15.75" customHeight="1">
      <c r="B516" s="22"/>
      <c r="D516" s="21"/>
    </row>
    <row r="517" ht="15.75" customHeight="1">
      <c r="B517" s="22"/>
      <c r="D517" s="21"/>
    </row>
    <row r="518" ht="15.75" customHeight="1">
      <c r="B518" s="22"/>
      <c r="D518" s="21"/>
    </row>
    <row r="519" ht="15.75" customHeight="1">
      <c r="B519" s="22"/>
      <c r="D519" s="21"/>
    </row>
    <row r="520" ht="15.75" customHeight="1">
      <c r="B520" s="22"/>
      <c r="D520" s="21"/>
    </row>
    <row r="521" ht="15.75" customHeight="1">
      <c r="B521" s="22"/>
      <c r="D521" s="21"/>
    </row>
    <row r="522" ht="15.75" customHeight="1">
      <c r="B522" s="22"/>
      <c r="D522" s="21"/>
    </row>
    <row r="523" ht="15.75" customHeight="1">
      <c r="B523" s="22"/>
      <c r="D523" s="21"/>
    </row>
    <row r="524" ht="15.75" customHeight="1">
      <c r="B524" s="22"/>
      <c r="D524" s="21"/>
    </row>
    <row r="525" ht="15.75" customHeight="1">
      <c r="B525" s="22"/>
      <c r="D525" s="21"/>
    </row>
    <row r="526" ht="15.75" customHeight="1">
      <c r="B526" s="22"/>
      <c r="D526" s="21"/>
    </row>
    <row r="527" ht="15.75" customHeight="1">
      <c r="B527" s="22"/>
      <c r="D527" s="21"/>
    </row>
    <row r="528" ht="15.75" customHeight="1">
      <c r="B528" s="22"/>
      <c r="D528" s="21"/>
    </row>
    <row r="529" ht="15.75" customHeight="1">
      <c r="B529" s="22"/>
      <c r="D529" s="21"/>
    </row>
    <row r="530" ht="15.75" customHeight="1">
      <c r="B530" s="22"/>
      <c r="D530" s="21"/>
    </row>
    <row r="531" ht="15.75" customHeight="1">
      <c r="B531" s="22"/>
      <c r="D531" s="21"/>
    </row>
    <row r="532" ht="15.75" customHeight="1">
      <c r="B532" s="22"/>
      <c r="D532" s="21"/>
    </row>
    <row r="533" ht="15.75" customHeight="1">
      <c r="B533" s="22"/>
      <c r="D533" s="21"/>
    </row>
    <row r="534" ht="15.75" customHeight="1">
      <c r="B534" s="22"/>
      <c r="D534" s="21"/>
    </row>
    <row r="535" ht="15.75" customHeight="1">
      <c r="B535" s="22"/>
      <c r="D535" s="21"/>
    </row>
    <row r="536" ht="15.75" customHeight="1">
      <c r="B536" s="22"/>
      <c r="D536" s="21"/>
    </row>
    <row r="537" ht="15.75" customHeight="1">
      <c r="B537" s="22"/>
      <c r="D537" s="21"/>
    </row>
    <row r="538" ht="15.75" customHeight="1">
      <c r="B538" s="22"/>
      <c r="D538" s="21"/>
    </row>
    <row r="539" ht="15.75" customHeight="1">
      <c r="B539" s="22"/>
      <c r="D539" s="21"/>
    </row>
    <row r="540" ht="15.75" customHeight="1">
      <c r="B540" s="22"/>
      <c r="D540" s="21"/>
    </row>
    <row r="541" ht="15.75" customHeight="1">
      <c r="B541" s="22"/>
      <c r="D541" s="21"/>
    </row>
    <row r="542" ht="15.75" customHeight="1">
      <c r="B542" s="22"/>
      <c r="D542" s="21"/>
    </row>
    <row r="543" ht="15.75" customHeight="1">
      <c r="B543" s="22"/>
      <c r="D543" s="21"/>
    </row>
    <row r="544" ht="15.75" customHeight="1">
      <c r="B544" s="22"/>
      <c r="D544" s="21"/>
    </row>
    <row r="545" ht="15.75" customHeight="1">
      <c r="B545" s="22"/>
      <c r="D545" s="21"/>
    </row>
    <row r="546" ht="15.75" customHeight="1">
      <c r="B546" s="22"/>
      <c r="D546" s="21"/>
    </row>
    <row r="547" ht="15.75" customHeight="1">
      <c r="B547" s="22"/>
      <c r="D547" s="21"/>
    </row>
    <row r="548" ht="15.75" customHeight="1">
      <c r="B548" s="22"/>
      <c r="D548" s="21"/>
    </row>
    <row r="549" ht="15.75" customHeight="1">
      <c r="B549" s="22"/>
      <c r="D549" s="21"/>
    </row>
    <row r="550" ht="15.75" customHeight="1">
      <c r="B550" s="22"/>
      <c r="D550" s="21"/>
    </row>
    <row r="551" ht="15.75" customHeight="1">
      <c r="B551" s="22"/>
      <c r="D551" s="21"/>
    </row>
    <row r="552" ht="15.75" customHeight="1">
      <c r="B552" s="22"/>
      <c r="D552" s="21"/>
    </row>
    <row r="553" ht="15.75" customHeight="1">
      <c r="B553" s="22"/>
      <c r="D553" s="21"/>
    </row>
    <row r="554" ht="15.75" customHeight="1">
      <c r="B554" s="22"/>
      <c r="D554" s="21"/>
    </row>
    <row r="555" ht="15.75" customHeight="1">
      <c r="B555" s="22"/>
      <c r="D555" s="21"/>
    </row>
    <row r="556" ht="15.75" customHeight="1">
      <c r="B556" s="22"/>
      <c r="D556" s="21"/>
    </row>
    <row r="557" ht="15.75" customHeight="1">
      <c r="B557" s="22"/>
      <c r="D557" s="21"/>
    </row>
    <row r="558" ht="15.75" customHeight="1">
      <c r="B558" s="22"/>
      <c r="D558" s="21"/>
    </row>
    <row r="559" ht="15.75" customHeight="1">
      <c r="B559" s="22"/>
      <c r="D559" s="21"/>
    </row>
    <row r="560" ht="15.75" customHeight="1">
      <c r="B560" s="22"/>
      <c r="D560" s="21"/>
    </row>
    <row r="561" ht="15.75" customHeight="1">
      <c r="B561" s="22"/>
      <c r="D561" s="21"/>
    </row>
    <row r="562" ht="15.75" customHeight="1">
      <c r="B562" s="22"/>
      <c r="D562" s="21"/>
    </row>
    <row r="563" ht="15.75" customHeight="1">
      <c r="B563" s="22"/>
      <c r="D563" s="21"/>
    </row>
    <row r="564" ht="15.75" customHeight="1">
      <c r="B564" s="22"/>
      <c r="D564" s="21"/>
    </row>
    <row r="565" ht="15.75" customHeight="1">
      <c r="B565" s="22"/>
      <c r="D565" s="21"/>
    </row>
    <row r="566" ht="15.75" customHeight="1">
      <c r="B566" s="22"/>
      <c r="D566" s="21"/>
    </row>
    <row r="567" ht="15.75" customHeight="1">
      <c r="B567" s="22"/>
      <c r="D567" s="21"/>
    </row>
    <row r="568" ht="15.75" customHeight="1">
      <c r="B568" s="22"/>
      <c r="D568" s="21"/>
    </row>
    <row r="569" ht="15.75" customHeight="1">
      <c r="B569" s="22"/>
      <c r="D569" s="21"/>
    </row>
    <row r="570" ht="15.75" customHeight="1">
      <c r="B570" s="22"/>
      <c r="D570" s="21"/>
    </row>
    <row r="571" ht="15.75" customHeight="1">
      <c r="B571" s="22"/>
      <c r="D571" s="21"/>
    </row>
    <row r="572" ht="15.75" customHeight="1">
      <c r="B572" s="22"/>
      <c r="D572" s="21"/>
    </row>
    <row r="573" ht="15.75" customHeight="1">
      <c r="B573" s="22"/>
      <c r="D573" s="21"/>
    </row>
    <row r="574" ht="15.75" customHeight="1">
      <c r="B574" s="22"/>
      <c r="D574" s="21"/>
    </row>
    <row r="575" ht="15.75" customHeight="1">
      <c r="B575" s="22"/>
      <c r="D575" s="21"/>
    </row>
    <row r="576" ht="15.75" customHeight="1">
      <c r="B576" s="22"/>
      <c r="D576" s="21"/>
    </row>
    <row r="577" ht="15.75" customHeight="1">
      <c r="B577" s="22"/>
      <c r="D577" s="21"/>
    </row>
    <row r="578" ht="15.75" customHeight="1">
      <c r="B578" s="22"/>
      <c r="D578" s="21"/>
    </row>
    <row r="579" ht="15.75" customHeight="1">
      <c r="B579" s="22"/>
      <c r="D579" s="21"/>
    </row>
    <row r="580" ht="15.75" customHeight="1">
      <c r="B580" s="22"/>
      <c r="D580" s="21"/>
    </row>
    <row r="581" ht="15.75" customHeight="1">
      <c r="B581" s="22"/>
      <c r="D581" s="21"/>
    </row>
    <row r="582" ht="15.75" customHeight="1">
      <c r="B582" s="22"/>
      <c r="D582" s="21"/>
    </row>
    <row r="583" ht="15.75" customHeight="1">
      <c r="B583" s="22"/>
      <c r="D583" s="21"/>
    </row>
    <row r="584" ht="15.75" customHeight="1">
      <c r="B584" s="22"/>
      <c r="D584" s="21"/>
    </row>
    <row r="585" ht="15.75" customHeight="1">
      <c r="B585" s="22"/>
      <c r="D585" s="21"/>
    </row>
    <row r="586" ht="15.75" customHeight="1">
      <c r="B586" s="22"/>
      <c r="D586" s="21"/>
    </row>
    <row r="587" ht="15.75" customHeight="1">
      <c r="B587" s="22"/>
      <c r="D587" s="21"/>
    </row>
    <row r="588" ht="15.75" customHeight="1">
      <c r="B588" s="22"/>
      <c r="D588" s="21"/>
    </row>
    <row r="589" ht="15.75" customHeight="1">
      <c r="B589" s="22"/>
      <c r="D589" s="21"/>
    </row>
    <row r="590" ht="15.75" customHeight="1">
      <c r="B590" s="22"/>
      <c r="D590" s="21"/>
    </row>
    <row r="591" ht="15.75" customHeight="1">
      <c r="B591" s="22"/>
      <c r="D591" s="21"/>
    </row>
    <row r="592" ht="15.75" customHeight="1">
      <c r="B592" s="22"/>
      <c r="D592" s="21"/>
    </row>
    <row r="593" ht="15.75" customHeight="1">
      <c r="B593" s="22"/>
      <c r="D593" s="21"/>
    </row>
    <row r="594" ht="15.75" customHeight="1">
      <c r="B594" s="22"/>
      <c r="D594" s="21"/>
    </row>
    <row r="595" ht="15.75" customHeight="1">
      <c r="B595" s="22"/>
      <c r="D595" s="21"/>
    </row>
    <row r="596" ht="15.75" customHeight="1">
      <c r="B596" s="22"/>
      <c r="D596" s="21"/>
    </row>
    <row r="597" ht="15.75" customHeight="1">
      <c r="B597" s="22"/>
      <c r="D597" s="21"/>
    </row>
    <row r="598" ht="15.75" customHeight="1">
      <c r="B598" s="22"/>
      <c r="D598" s="21"/>
    </row>
    <row r="599" ht="15.75" customHeight="1">
      <c r="B599" s="22"/>
      <c r="D599" s="21"/>
    </row>
    <row r="600" ht="15.75" customHeight="1">
      <c r="B600" s="22"/>
      <c r="D600" s="21"/>
    </row>
    <row r="601" ht="15.75" customHeight="1">
      <c r="B601" s="22"/>
      <c r="D601" s="21"/>
    </row>
    <row r="602" ht="15.75" customHeight="1">
      <c r="B602" s="22"/>
      <c r="D602" s="21"/>
    </row>
    <row r="603" ht="15.75" customHeight="1">
      <c r="B603" s="22"/>
      <c r="D603" s="21"/>
    </row>
    <row r="604" ht="15.75" customHeight="1">
      <c r="B604" s="22"/>
      <c r="D604" s="21"/>
    </row>
    <row r="605" ht="15.75" customHeight="1">
      <c r="B605" s="22"/>
      <c r="D605" s="21"/>
    </row>
    <row r="606" ht="15.75" customHeight="1">
      <c r="B606" s="22"/>
      <c r="D606" s="21"/>
    </row>
    <row r="607" ht="15.75" customHeight="1">
      <c r="B607" s="22"/>
      <c r="D607" s="21"/>
    </row>
    <row r="608" ht="15.75" customHeight="1">
      <c r="B608" s="22"/>
      <c r="D608" s="21"/>
    </row>
    <row r="609" ht="15.75" customHeight="1">
      <c r="B609" s="22"/>
      <c r="D609" s="21"/>
    </row>
    <row r="610" ht="15.75" customHeight="1">
      <c r="B610" s="22"/>
      <c r="D610" s="21"/>
    </row>
    <row r="611" ht="15.75" customHeight="1">
      <c r="B611" s="22"/>
      <c r="D611" s="21"/>
    </row>
    <row r="612" ht="15.75" customHeight="1">
      <c r="B612" s="22"/>
      <c r="D612" s="21"/>
    </row>
    <row r="613" ht="15.75" customHeight="1">
      <c r="B613" s="22"/>
      <c r="D613" s="21"/>
    </row>
    <row r="614" ht="15.75" customHeight="1">
      <c r="B614" s="22"/>
      <c r="D614" s="21"/>
    </row>
    <row r="615" ht="15.75" customHeight="1">
      <c r="B615" s="22"/>
      <c r="D615" s="21"/>
    </row>
    <row r="616" ht="15.75" customHeight="1">
      <c r="B616" s="22"/>
      <c r="D616" s="21"/>
    </row>
    <row r="617" ht="15.75" customHeight="1">
      <c r="B617" s="22"/>
      <c r="D617" s="21"/>
    </row>
    <row r="618" ht="15.75" customHeight="1">
      <c r="B618" s="22"/>
      <c r="D618" s="21"/>
    </row>
    <row r="619" ht="15.75" customHeight="1">
      <c r="B619" s="22"/>
      <c r="D619" s="21"/>
    </row>
    <row r="620" ht="15.75" customHeight="1">
      <c r="B620" s="22"/>
      <c r="D620" s="21"/>
    </row>
    <row r="621" ht="15.75" customHeight="1">
      <c r="B621" s="22"/>
      <c r="D621" s="21"/>
    </row>
    <row r="622" ht="15.75" customHeight="1">
      <c r="B622" s="22"/>
      <c r="D622" s="21"/>
    </row>
    <row r="623" ht="15.75" customHeight="1">
      <c r="B623" s="22"/>
      <c r="D623" s="21"/>
    </row>
    <row r="624" ht="15.75" customHeight="1">
      <c r="B624" s="22"/>
      <c r="D624" s="21"/>
    </row>
    <row r="625" ht="15.75" customHeight="1">
      <c r="B625" s="22"/>
      <c r="D625" s="21"/>
    </row>
    <row r="626" ht="15.75" customHeight="1">
      <c r="B626" s="22"/>
      <c r="D626" s="21"/>
    </row>
    <row r="627" ht="15.75" customHeight="1">
      <c r="B627" s="22"/>
      <c r="D627" s="21"/>
    </row>
    <row r="628" ht="15.75" customHeight="1">
      <c r="B628" s="22"/>
      <c r="D628" s="21"/>
    </row>
    <row r="629" ht="15.75" customHeight="1">
      <c r="B629" s="22"/>
      <c r="D629" s="21"/>
    </row>
    <row r="630" ht="15.75" customHeight="1">
      <c r="B630" s="22"/>
      <c r="D630" s="21"/>
    </row>
    <row r="631" ht="15.75" customHeight="1">
      <c r="B631" s="22"/>
      <c r="D631" s="21"/>
    </row>
    <row r="632" ht="15.75" customHeight="1">
      <c r="B632" s="22"/>
      <c r="D632" s="21"/>
    </row>
    <row r="633" ht="15.75" customHeight="1">
      <c r="B633" s="22"/>
      <c r="D633" s="21"/>
    </row>
    <row r="634" ht="15.75" customHeight="1">
      <c r="B634" s="22"/>
      <c r="D634" s="21"/>
    </row>
    <row r="635" ht="15.75" customHeight="1">
      <c r="B635" s="22"/>
      <c r="D635" s="21"/>
    </row>
    <row r="636" ht="15.75" customHeight="1">
      <c r="B636" s="22"/>
      <c r="D636" s="21"/>
    </row>
    <row r="637" ht="15.75" customHeight="1">
      <c r="B637" s="22"/>
      <c r="D637" s="21"/>
    </row>
    <row r="638" ht="15.75" customHeight="1">
      <c r="B638" s="22"/>
      <c r="D638" s="21"/>
    </row>
    <row r="639" ht="15.75" customHeight="1">
      <c r="B639" s="22"/>
      <c r="D639" s="21"/>
    </row>
    <row r="640" ht="15.75" customHeight="1">
      <c r="B640" s="22"/>
      <c r="D640" s="21"/>
    </row>
    <row r="641" ht="15.75" customHeight="1">
      <c r="B641" s="22"/>
      <c r="D641" s="21"/>
    </row>
    <row r="642" ht="15.75" customHeight="1">
      <c r="B642" s="22"/>
      <c r="D642" s="21"/>
    </row>
    <row r="643" ht="15.75" customHeight="1">
      <c r="B643" s="22"/>
      <c r="D643" s="21"/>
    </row>
    <row r="644" ht="15.75" customHeight="1">
      <c r="B644" s="22"/>
      <c r="D644" s="21"/>
    </row>
    <row r="645" ht="15.75" customHeight="1">
      <c r="B645" s="22"/>
      <c r="D645" s="21"/>
    </row>
    <row r="646" ht="15.75" customHeight="1">
      <c r="B646" s="22"/>
      <c r="D646" s="21"/>
    </row>
    <row r="647" ht="15.75" customHeight="1">
      <c r="B647" s="22"/>
      <c r="D647" s="21"/>
    </row>
    <row r="648" ht="15.75" customHeight="1">
      <c r="B648" s="22"/>
      <c r="D648" s="21"/>
    </row>
    <row r="649" ht="15.75" customHeight="1">
      <c r="B649" s="22"/>
      <c r="D649" s="21"/>
    </row>
    <row r="650" ht="15.75" customHeight="1">
      <c r="B650" s="22"/>
      <c r="D650" s="21"/>
    </row>
    <row r="651" ht="15.75" customHeight="1">
      <c r="B651" s="22"/>
      <c r="D651" s="21"/>
    </row>
    <row r="652" ht="15.75" customHeight="1">
      <c r="B652" s="22"/>
      <c r="D652" s="21"/>
    </row>
    <row r="653" ht="15.75" customHeight="1">
      <c r="B653" s="22"/>
      <c r="D653" s="21"/>
    </row>
    <row r="654" ht="15.75" customHeight="1">
      <c r="B654" s="22"/>
      <c r="D654" s="21"/>
    </row>
    <row r="655" ht="15.75" customHeight="1">
      <c r="B655" s="22"/>
      <c r="D655" s="21"/>
    </row>
    <row r="656" ht="15.75" customHeight="1">
      <c r="B656" s="22"/>
      <c r="D656" s="21"/>
    </row>
    <row r="657" ht="15.75" customHeight="1">
      <c r="B657" s="22"/>
      <c r="D657" s="21"/>
    </row>
    <row r="658" ht="15.75" customHeight="1">
      <c r="B658" s="22"/>
      <c r="D658" s="21"/>
    </row>
    <row r="659" ht="15.75" customHeight="1">
      <c r="B659" s="22"/>
      <c r="D659" s="21"/>
    </row>
    <row r="660" ht="15.75" customHeight="1">
      <c r="B660" s="22"/>
      <c r="D660" s="21"/>
    </row>
    <row r="661" ht="15.75" customHeight="1">
      <c r="B661" s="22"/>
      <c r="D661" s="21"/>
    </row>
    <row r="662" ht="15.75" customHeight="1">
      <c r="B662" s="22"/>
      <c r="D662" s="21"/>
    </row>
    <row r="663" ht="15.75" customHeight="1">
      <c r="B663" s="22"/>
      <c r="D663" s="21"/>
    </row>
    <row r="664" ht="15.75" customHeight="1">
      <c r="B664" s="22"/>
      <c r="D664" s="21"/>
    </row>
    <row r="665" ht="15.75" customHeight="1">
      <c r="B665" s="22"/>
      <c r="D665" s="21"/>
    </row>
    <row r="666" ht="15.75" customHeight="1">
      <c r="B666" s="22"/>
      <c r="D666" s="21"/>
    </row>
    <row r="667" ht="15.75" customHeight="1">
      <c r="B667" s="22"/>
      <c r="D667" s="21"/>
    </row>
    <row r="668" ht="15.75" customHeight="1">
      <c r="B668" s="22"/>
      <c r="D668" s="21"/>
    </row>
    <row r="669" ht="15.75" customHeight="1">
      <c r="B669" s="22"/>
      <c r="D669" s="21"/>
    </row>
    <row r="670" ht="15.75" customHeight="1">
      <c r="B670" s="22"/>
      <c r="D670" s="21"/>
    </row>
    <row r="671" ht="15.75" customHeight="1">
      <c r="B671" s="22"/>
      <c r="D671" s="21"/>
    </row>
    <row r="672" ht="15.75" customHeight="1">
      <c r="B672" s="22"/>
      <c r="D672" s="21"/>
    </row>
    <row r="673" ht="15.75" customHeight="1">
      <c r="B673" s="22"/>
      <c r="D673" s="21"/>
    </row>
    <row r="674" ht="15.75" customHeight="1">
      <c r="B674" s="22"/>
      <c r="D674" s="21"/>
    </row>
    <row r="675" ht="15.75" customHeight="1">
      <c r="B675" s="22"/>
      <c r="D675" s="21"/>
    </row>
    <row r="676" ht="15.75" customHeight="1">
      <c r="B676" s="22"/>
      <c r="D676" s="21"/>
    </row>
    <row r="677" ht="15.75" customHeight="1">
      <c r="B677" s="22"/>
      <c r="D677" s="21"/>
    </row>
    <row r="678" ht="15.75" customHeight="1">
      <c r="B678" s="22"/>
      <c r="D678" s="21"/>
    </row>
    <row r="679" ht="15.75" customHeight="1">
      <c r="B679" s="22"/>
      <c r="D679" s="21"/>
    </row>
    <row r="680" ht="15.75" customHeight="1">
      <c r="B680" s="22"/>
      <c r="D680" s="21"/>
    </row>
    <row r="681" ht="15.75" customHeight="1">
      <c r="B681" s="22"/>
      <c r="D681" s="21"/>
    </row>
    <row r="682" ht="15.75" customHeight="1">
      <c r="B682" s="22"/>
      <c r="D682" s="21"/>
    </row>
    <row r="683" ht="15.75" customHeight="1">
      <c r="B683" s="22"/>
      <c r="D683" s="21"/>
    </row>
    <row r="684" ht="15.75" customHeight="1">
      <c r="B684" s="22"/>
      <c r="D684" s="21"/>
    </row>
    <row r="685" ht="15.75" customHeight="1">
      <c r="B685" s="22"/>
      <c r="D685" s="21"/>
    </row>
    <row r="686" ht="15.75" customHeight="1">
      <c r="B686" s="22"/>
      <c r="D686" s="21"/>
    </row>
    <row r="687" ht="15.75" customHeight="1">
      <c r="B687" s="22"/>
      <c r="D687" s="21"/>
    </row>
    <row r="688" ht="15.75" customHeight="1">
      <c r="B688" s="22"/>
      <c r="D688" s="21"/>
    </row>
    <row r="689" ht="15.75" customHeight="1">
      <c r="B689" s="22"/>
      <c r="D689" s="21"/>
    </row>
    <row r="690" ht="15.75" customHeight="1">
      <c r="B690" s="22"/>
      <c r="D690" s="21"/>
    </row>
    <row r="691" ht="15.75" customHeight="1">
      <c r="B691" s="22"/>
      <c r="D691" s="21"/>
    </row>
    <row r="692" ht="15.75" customHeight="1">
      <c r="B692" s="22"/>
      <c r="D692" s="21"/>
    </row>
    <row r="693" ht="15.75" customHeight="1">
      <c r="B693" s="22"/>
      <c r="D693" s="21"/>
    </row>
    <row r="694" ht="15.75" customHeight="1">
      <c r="B694" s="22"/>
      <c r="D694" s="21"/>
    </row>
    <row r="695" ht="15.75" customHeight="1">
      <c r="B695" s="22"/>
      <c r="D695" s="21"/>
    </row>
    <row r="696" ht="15.75" customHeight="1">
      <c r="B696" s="22"/>
      <c r="D696" s="21"/>
    </row>
    <row r="697" ht="15.75" customHeight="1">
      <c r="B697" s="22"/>
      <c r="D697" s="21"/>
    </row>
    <row r="698" ht="15.75" customHeight="1">
      <c r="B698" s="22"/>
      <c r="D698" s="21"/>
    </row>
    <row r="699" ht="15.75" customHeight="1">
      <c r="B699" s="22"/>
      <c r="D699" s="21"/>
    </row>
    <row r="700" ht="15.75" customHeight="1">
      <c r="B700" s="22"/>
      <c r="D700" s="21"/>
    </row>
    <row r="701" ht="15.75" customHeight="1">
      <c r="B701" s="22"/>
      <c r="D701" s="21"/>
    </row>
    <row r="702" ht="15.75" customHeight="1">
      <c r="B702" s="22"/>
      <c r="D702" s="21"/>
    </row>
    <row r="703" ht="15.75" customHeight="1">
      <c r="B703" s="22"/>
      <c r="D703" s="21"/>
    </row>
    <row r="704" ht="15.75" customHeight="1">
      <c r="B704" s="22"/>
      <c r="D704" s="21"/>
    </row>
    <row r="705" ht="15.75" customHeight="1">
      <c r="B705" s="22"/>
      <c r="D705" s="21"/>
    </row>
    <row r="706" ht="15.75" customHeight="1">
      <c r="B706" s="22"/>
      <c r="D706" s="21"/>
    </row>
    <row r="707" ht="15.75" customHeight="1">
      <c r="B707" s="22"/>
      <c r="D707" s="21"/>
    </row>
    <row r="708" ht="15.75" customHeight="1">
      <c r="B708" s="22"/>
      <c r="D708" s="21"/>
    </row>
    <row r="709" ht="15.75" customHeight="1">
      <c r="B709" s="22"/>
      <c r="D709" s="21"/>
    </row>
    <row r="710" ht="15.75" customHeight="1">
      <c r="B710" s="22"/>
      <c r="D710" s="21"/>
    </row>
    <row r="711" ht="15.75" customHeight="1">
      <c r="B711" s="22"/>
      <c r="D711" s="21"/>
    </row>
    <row r="712" ht="15.75" customHeight="1">
      <c r="B712" s="22"/>
      <c r="D712" s="21"/>
    </row>
    <row r="713" ht="15.75" customHeight="1">
      <c r="B713" s="22"/>
      <c r="D713" s="21"/>
    </row>
    <row r="714" ht="15.75" customHeight="1">
      <c r="B714" s="22"/>
      <c r="D714" s="21"/>
    </row>
    <row r="715" ht="15.75" customHeight="1">
      <c r="B715" s="22"/>
      <c r="D715" s="21"/>
    </row>
    <row r="716" ht="15.75" customHeight="1">
      <c r="B716" s="22"/>
      <c r="D716" s="21"/>
    </row>
    <row r="717" ht="15.75" customHeight="1">
      <c r="B717" s="22"/>
      <c r="D717" s="21"/>
    </row>
    <row r="718" ht="15.75" customHeight="1">
      <c r="B718" s="22"/>
      <c r="D718" s="21"/>
    </row>
    <row r="719" ht="15.75" customHeight="1">
      <c r="B719" s="22"/>
      <c r="D719" s="21"/>
    </row>
    <row r="720" ht="15.75" customHeight="1">
      <c r="B720" s="22"/>
      <c r="D720" s="21"/>
    </row>
    <row r="721" ht="15.75" customHeight="1">
      <c r="B721" s="22"/>
      <c r="D721" s="21"/>
    </row>
    <row r="722" ht="15.75" customHeight="1">
      <c r="B722" s="22"/>
      <c r="D722" s="21"/>
    </row>
    <row r="723" ht="15.75" customHeight="1">
      <c r="B723" s="22"/>
      <c r="D723" s="21"/>
    </row>
    <row r="724" ht="15.75" customHeight="1">
      <c r="B724" s="22"/>
      <c r="D724" s="21"/>
    </row>
    <row r="725" ht="15.75" customHeight="1">
      <c r="B725" s="22"/>
      <c r="D725" s="21"/>
    </row>
    <row r="726" ht="15.75" customHeight="1">
      <c r="B726" s="22"/>
      <c r="D726" s="21"/>
    </row>
    <row r="727" ht="15.75" customHeight="1">
      <c r="B727" s="22"/>
      <c r="D727" s="21"/>
    </row>
    <row r="728" ht="15.75" customHeight="1">
      <c r="B728" s="22"/>
      <c r="D728" s="21"/>
    </row>
    <row r="729" ht="15.75" customHeight="1">
      <c r="B729" s="22"/>
      <c r="D729" s="21"/>
    </row>
    <row r="730" ht="15.75" customHeight="1">
      <c r="B730" s="22"/>
      <c r="D730" s="21"/>
    </row>
    <row r="731" ht="15.75" customHeight="1">
      <c r="B731" s="22"/>
      <c r="D731" s="21"/>
    </row>
    <row r="732" ht="15.75" customHeight="1">
      <c r="B732" s="22"/>
      <c r="D732" s="21"/>
    </row>
    <row r="733" ht="15.75" customHeight="1">
      <c r="B733" s="22"/>
      <c r="D733" s="21"/>
    </row>
    <row r="734" ht="15.75" customHeight="1">
      <c r="B734" s="22"/>
      <c r="D734" s="21"/>
    </row>
    <row r="735" ht="15.75" customHeight="1">
      <c r="B735" s="22"/>
      <c r="D735" s="21"/>
    </row>
    <row r="736" ht="15.75" customHeight="1">
      <c r="B736" s="22"/>
      <c r="D736" s="21"/>
    </row>
    <row r="737" ht="15.75" customHeight="1">
      <c r="B737" s="22"/>
      <c r="D737" s="21"/>
    </row>
    <row r="738" ht="15.75" customHeight="1">
      <c r="B738" s="22"/>
      <c r="D738" s="21"/>
    </row>
    <row r="739" ht="15.75" customHeight="1">
      <c r="B739" s="22"/>
      <c r="D739" s="21"/>
    </row>
    <row r="740" ht="15.75" customHeight="1">
      <c r="B740" s="22"/>
      <c r="D740" s="21"/>
    </row>
    <row r="741" ht="15.75" customHeight="1">
      <c r="B741" s="22"/>
      <c r="D741" s="21"/>
    </row>
    <row r="742" ht="15.75" customHeight="1">
      <c r="B742" s="22"/>
      <c r="D742" s="21"/>
    </row>
    <row r="743" ht="15.75" customHeight="1">
      <c r="B743" s="22"/>
      <c r="D743" s="21"/>
    </row>
    <row r="744" ht="15.75" customHeight="1">
      <c r="B744" s="22"/>
      <c r="D744" s="21"/>
    </row>
    <row r="745" ht="15.75" customHeight="1">
      <c r="B745" s="22"/>
      <c r="D745" s="21"/>
    </row>
    <row r="746" ht="15.75" customHeight="1">
      <c r="B746" s="22"/>
      <c r="D746" s="21"/>
    </row>
    <row r="747" ht="15.75" customHeight="1">
      <c r="B747" s="22"/>
      <c r="D747" s="21"/>
    </row>
    <row r="748" ht="15.75" customHeight="1">
      <c r="B748" s="22"/>
      <c r="D748" s="21"/>
    </row>
    <row r="749" ht="15.75" customHeight="1">
      <c r="B749" s="22"/>
      <c r="D749" s="21"/>
    </row>
    <row r="750" ht="15.75" customHeight="1">
      <c r="B750" s="22"/>
      <c r="D750" s="21"/>
    </row>
    <row r="751" ht="15.75" customHeight="1">
      <c r="B751" s="22"/>
      <c r="D751" s="21"/>
    </row>
    <row r="752" ht="15.75" customHeight="1">
      <c r="B752" s="22"/>
      <c r="D752" s="21"/>
    </row>
    <row r="753" ht="15.75" customHeight="1">
      <c r="B753" s="22"/>
      <c r="D753" s="21"/>
    </row>
    <row r="754" ht="15.75" customHeight="1">
      <c r="B754" s="22"/>
      <c r="D754" s="21"/>
    </row>
    <row r="755" ht="15.75" customHeight="1">
      <c r="B755" s="22"/>
      <c r="D755" s="21"/>
    </row>
    <row r="756" ht="15.75" customHeight="1">
      <c r="B756" s="22"/>
      <c r="D756" s="21"/>
    </row>
    <row r="757" ht="15.75" customHeight="1">
      <c r="B757" s="22"/>
      <c r="D757" s="21"/>
    </row>
    <row r="758" ht="15.75" customHeight="1">
      <c r="B758" s="22"/>
      <c r="D758" s="21"/>
    </row>
    <row r="759" ht="15.75" customHeight="1">
      <c r="B759" s="22"/>
      <c r="D759" s="21"/>
    </row>
    <row r="760" ht="15.75" customHeight="1">
      <c r="B760" s="22"/>
      <c r="D760" s="21"/>
    </row>
    <row r="761" ht="15.75" customHeight="1">
      <c r="B761" s="22"/>
      <c r="D761" s="21"/>
    </row>
    <row r="762" ht="15.75" customHeight="1">
      <c r="B762" s="22"/>
      <c r="D762" s="21"/>
    </row>
    <row r="763" ht="15.75" customHeight="1">
      <c r="B763" s="22"/>
      <c r="D763" s="21"/>
    </row>
    <row r="764" ht="15.75" customHeight="1">
      <c r="B764" s="22"/>
      <c r="D764" s="21"/>
    </row>
    <row r="765" ht="15.75" customHeight="1">
      <c r="B765" s="22"/>
      <c r="D765" s="21"/>
    </row>
    <row r="766" ht="15.75" customHeight="1">
      <c r="B766" s="22"/>
      <c r="D766" s="21"/>
    </row>
    <row r="767" ht="15.75" customHeight="1">
      <c r="B767" s="22"/>
      <c r="D767" s="21"/>
    </row>
    <row r="768" ht="15.75" customHeight="1">
      <c r="B768" s="22"/>
      <c r="D768" s="21"/>
    </row>
    <row r="769" ht="15.75" customHeight="1">
      <c r="B769" s="22"/>
      <c r="D769" s="21"/>
    </row>
    <row r="770" ht="15.75" customHeight="1">
      <c r="B770" s="22"/>
      <c r="D770" s="21"/>
    </row>
    <row r="771" ht="15.75" customHeight="1">
      <c r="B771" s="22"/>
      <c r="D771" s="21"/>
    </row>
    <row r="772" ht="15.75" customHeight="1">
      <c r="B772" s="22"/>
      <c r="D772" s="21"/>
    </row>
    <row r="773" ht="15.75" customHeight="1">
      <c r="B773" s="22"/>
      <c r="D773" s="21"/>
    </row>
    <row r="774" ht="15.75" customHeight="1">
      <c r="B774" s="22"/>
      <c r="D774" s="21"/>
    </row>
    <row r="775" ht="15.75" customHeight="1">
      <c r="B775" s="22"/>
      <c r="D775" s="21"/>
    </row>
    <row r="776" ht="15.75" customHeight="1">
      <c r="B776" s="22"/>
      <c r="D776" s="21"/>
    </row>
    <row r="777" ht="15.75" customHeight="1">
      <c r="B777" s="22"/>
      <c r="D777" s="21"/>
    </row>
    <row r="778" ht="15.75" customHeight="1">
      <c r="B778" s="22"/>
      <c r="D778" s="21"/>
    </row>
    <row r="779" ht="15.75" customHeight="1">
      <c r="B779" s="22"/>
      <c r="D779" s="21"/>
    </row>
    <row r="780" ht="15.75" customHeight="1">
      <c r="B780" s="22"/>
      <c r="D780" s="21"/>
    </row>
    <row r="781" ht="15.75" customHeight="1">
      <c r="B781" s="22"/>
      <c r="D781" s="21"/>
    </row>
    <row r="782" ht="15.75" customHeight="1">
      <c r="B782" s="22"/>
      <c r="D782" s="21"/>
    </row>
    <row r="783" ht="15.75" customHeight="1">
      <c r="B783" s="22"/>
      <c r="D783" s="21"/>
    </row>
    <row r="784" ht="15.75" customHeight="1">
      <c r="B784" s="22"/>
      <c r="D784" s="21"/>
    </row>
    <row r="785" ht="15.75" customHeight="1">
      <c r="B785" s="22"/>
      <c r="D785" s="21"/>
    </row>
    <row r="786" ht="15.75" customHeight="1">
      <c r="B786" s="22"/>
      <c r="D786" s="21"/>
    </row>
    <row r="787" ht="15.75" customHeight="1">
      <c r="B787" s="22"/>
      <c r="D787" s="21"/>
    </row>
    <row r="788" ht="15.75" customHeight="1">
      <c r="B788" s="22"/>
      <c r="D788" s="21"/>
    </row>
    <row r="789" ht="15.75" customHeight="1">
      <c r="B789" s="22"/>
      <c r="D789" s="21"/>
    </row>
    <row r="790" ht="15.75" customHeight="1">
      <c r="B790" s="22"/>
      <c r="D790" s="21"/>
    </row>
    <row r="791" ht="15.75" customHeight="1">
      <c r="B791" s="22"/>
      <c r="D791" s="21"/>
    </row>
    <row r="792" ht="15.75" customHeight="1">
      <c r="B792" s="22"/>
      <c r="D792" s="21"/>
    </row>
    <row r="793" ht="15.75" customHeight="1">
      <c r="B793" s="22"/>
      <c r="D793" s="21"/>
    </row>
    <row r="794" ht="15.75" customHeight="1">
      <c r="B794" s="22"/>
      <c r="D794" s="21"/>
    </row>
    <row r="795" ht="15.75" customHeight="1">
      <c r="B795" s="22"/>
      <c r="D795" s="21"/>
    </row>
    <row r="796" ht="15.75" customHeight="1">
      <c r="B796" s="22"/>
      <c r="D796" s="21"/>
    </row>
    <row r="797" ht="15.75" customHeight="1">
      <c r="B797" s="22"/>
      <c r="D797" s="21"/>
    </row>
    <row r="798" ht="15.75" customHeight="1">
      <c r="B798" s="22"/>
      <c r="D798" s="21"/>
    </row>
    <row r="799" ht="15.75" customHeight="1">
      <c r="B799" s="22"/>
      <c r="D799" s="21"/>
    </row>
    <row r="800" ht="15.75" customHeight="1">
      <c r="B800" s="22"/>
      <c r="D800" s="21"/>
    </row>
    <row r="801" ht="15.75" customHeight="1">
      <c r="B801" s="22"/>
      <c r="D801" s="21"/>
    </row>
    <row r="802" ht="15.75" customHeight="1">
      <c r="B802" s="22"/>
      <c r="D802" s="21"/>
    </row>
    <row r="803" ht="15.75" customHeight="1">
      <c r="B803" s="22"/>
      <c r="D803" s="21"/>
    </row>
    <row r="804" ht="15.75" customHeight="1">
      <c r="B804" s="22"/>
      <c r="D804" s="21"/>
    </row>
    <row r="805" ht="15.75" customHeight="1">
      <c r="B805" s="22"/>
      <c r="D805" s="21"/>
    </row>
    <row r="806" ht="15.75" customHeight="1">
      <c r="B806" s="22"/>
      <c r="D806" s="21"/>
    </row>
    <row r="807" ht="15.75" customHeight="1">
      <c r="B807" s="22"/>
      <c r="D807" s="21"/>
    </row>
    <row r="808" ht="15.75" customHeight="1">
      <c r="B808" s="22"/>
      <c r="D808" s="21"/>
    </row>
    <row r="809" ht="15.75" customHeight="1">
      <c r="B809" s="22"/>
      <c r="D809" s="21"/>
    </row>
    <row r="810" ht="15.75" customHeight="1">
      <c r="B810" s="22"/>
      <c r="D810" s="21"/>
    </row>
    <row r="811" ht="15.75" customHeight="1">
      <c r="B811" s="22"/>
      <c r="D811" s="21"/>
    </row>
    <row r="812" ht="15.75" customHeight="1">
      <c r="B812" s="22"/>
      <c r="D812" s="21"/>
    </row>
    <row r="813" ht="15.75" customHeight="1">
      <c r="B813" s="22"/>
      <c r="D813" s="21"/>
    </row>
    <row r="814" ht="15.75" customHeight="1">
      <c r="B814" s="22"/>
      <c r="D814" s="21"/>
    </row>
    <row r="815" ht="15.75" customHeight="1">
      <c r="B815" s="22"/>
      <c r="D815" s="21"/>
    </row>
    <row r="816" ht="15.75" customHeight="1">
      <c r="B816" s="22"/>
      <c r="D816" s="21"/>
    </row>
    <row r="817" ht="15.75" customHeight="1">
      <c r="B817" s="22"/>
      <c r="D817" s="21"/>
    </row>
    <row r="818" ht="15.75" customHeight="1">
      <c r="B818" s="22"/>
      <c r="D818" s="21"/>
    </row>
    <row r="819" ht="15.75" customHeight="1">
      <c r="B819" s="22"/>
      <c r="D819" s="21"/>
    </row>
    <row r="820" ht="15.75" customHeight="1">
      <c r="B820" s="22"/>
      <c r="D820" s="21"/>
    </row>
    <row r="821" ht="15.75" customHeight="1">
      <c r="B821" s="22"/>
      <c r="D821" s="21"/>
    </row>
    <row r="822" ht="15.75" customHeight="1">
      <c r="B822" s="22"/>
      <c r="D822" s="21"/>
    </row>
    <row r="823" ht="15.75" customHeight="1">
      <c r="B823" s="22"/>
      <c r="D823" s="21"/>
    </row>
    <row r="824" ht="15.75" customHeight="1">
      <c r="B824" s="22"/>
      <c r="D824" s="21"/>
    </row>
    <row r="825" ht="15.75" customHeight="1">
      <c r="B825" s="22"/>
      <c r="D825" s="21"/>
    </row>
    <row r="826" ht="15.75" customHeight="1">
      <c r="B826" s="22"/>
      <c r="D826" s="21"/>
    </row>
    <row r="827" ht="15.75" customHeight="1">
      <c r="B827" s="22"/>
      <c r="D827" s="21"/>
    </row>
    <row r="828" ht="15.75" customHeight="1">
      <c r="B828" s="22"/>
      <c r="D828" s="21"/>
    </row>
    <row r="829" ht="15.75" customHeight="1">
      <c r="B829" s="22"/>
      <c r="D829" s="21"/>
    </row>
    <row r="830" ht="15.75" customHeight="1">
      <c r="B830" s="22"/>
      <c r="D830" s="21"/>
    </row>
    <row r="831" ht="15.75" customHeight="1">
      <c r="B831" s="22"/>
      <c r="D831" s="21"/>
    </row>
    <row r="832" ht="15.75" customHeight="1">
      <c r="B832" s="22"/>
      <c r="D832" s="21"/>
    </row>
    <row r="833" ht="15.75" customHeight="1">
      <c r="B833" s="22"/>
      <c r="D833" s="21"/>
    </row>
    <row r="834" ht="15.75" customHeight="1">
      <c r="B834" s="22"/>
      <c r="D834" s="21"/>
    </row>
    <row r="835" ht="15.75" customHeight="1">
      <c r="B835" s="22"/>
      <c r="D835" s="21"/>
    </row>
    <row r="836" ht="15.75" customHeight="1">
      <c r="B836" s="22"/>
      <c r="D836" s="21"/>
    </row>
    <row r="837" ht="15.75" customHeight="1">
      <c r="B837" s="22"/>
      <c r="D837" s="21"/>
    </row>
    <row r="838" ht="15.75" customHeight="1">
      <c r="B838" s="22"/>
      <c r="D838" s="21"/>
    </row>
    <row r="839" ht="15.75" customHeight="1">
      <c r="B839" s="22"/>
      <c r="D839" s="21"/>
    </row>
    <row r="840" ht="15.75" customHeight="1">
      <c r="B840" s="22"/>
      <c r="D840" s="21"/>
    </row>
    <row r="841" ht="15.75" customHeight="1">
      <c r="B841" s="22"/>
      <c r="D841" s="21"/>
    </row>
    <row r="842" ht="15.75" customHeight="1">
      <c r="B842" s="22"/>
      <c r="D842" s="21"/>
    </row>
    <row r="843" ht="15.75" customHeight="1">
      <c r="B843" s="22"/>
      <c r="D843" s="21"/>
    </row>
    <row r="844" ht="15.75" customHeight="1">
      <c r="B844" s="22"/>
      <c r="D844" s="21"/>
    </row>
    <row r="845" ht="15.75" customHeight="1">
      <c r="B845" s="22"/>
      <c r="D845" s="21"/>
    </row>
    <row r="846" ht="15.75" customHeight="1">
      <c r="B846" s="22"/>
      <c r="D846" s="21"/>
    </row>
    <row r="847" ht="15.75" customHeight="1">
      <c r="B847" s="22"/>
      <c r="D847" s="21"/>
    </row>
    <row r="848" ht="15.75" customHeight="1">
      <c r="B848" s="22"/>
      <c r="D848" s="21"/>
    </row>
    <row r="849" ht="15.75" customHeight="1">
      <c r="B849" s="22"/>
      <c r="D849" s="21"/>
    </row>
    <row r="850" ht="15.75" customHeight="1">
      <c r="B850" s="22"/>
      <c r="D850" s="21"/>
    </row>
    <row r="851" ht="15.75" customHeight="1">
      <c r="B851" s="22"/>
      <c r="D851" s="21"/>
    </row>
    <row r="852" ht="15.75" customHeight="1">
      <c r="B852" s="22"/>
      <c r="D852" s="21"/>
    </row>
    <row r="853" ht="15.75" customHeight="1">
      <c r="B853" s="22"/>
      <c r="D853" s="21"/>
    </row>
    <row r="854" ht="15.75" customHeight="1">
      <c r="B854" s="22"/>
      <c r="D854" s="21"/>
    </row>
    <row r="855" ht="15.75" customHeight="1">
      <c r="B855" s="22"/>
      <c r="D855" s="21"/>
    </row>
    <row r="856" ht="15.75" customHeight="1">
      <c r="B856" s="22"/>
      <c r="D856" s="21"/>
    </row>
    <row r="857" ht="15.75" customHeight="1">
      <c r="B857" s="22"/>
      <c r="D857" s="21"/>
    </row>
    <row r="858" ht="15.75" customHeight="1">
      <c r="B858" s="22"/>
      <c r="D858" s="21"/>
    </row>
    <row r="859" ht="15.75" customHeight="1">
      <c r="B859" s="22"/>
      <c r="D859" s="21"/>
    </row>
    <row r="860" ht="15.75" customHeight="1">
      <c r="B860" s="22"/>
      <c r="D860" s="21"/>
    </row>
    <row r="861" ht="15.75" customHeight="1">
      <c r="B861" s="22"/>
      <c r="D861" s="21"/>
    </row>
    <row r="862" ht="15.75" customHeight="1">
      <c r="B862" s="22"/>
      <c r="D862" s="21"/>
    </row>
    <row r="863" ht="15.75" customHeight="1">
      <c r="B863" s="22"/>
      <c r="D863" s="21"/>
    </row>
    <row r="864" ht="15.75" customHeight="1">
      <c r="B864" s="22"/>
      <c r="D864" s="21"/>
    </row>
    <row r="865" ht="15.75" customHeight="1">
      <c r="B865" s="22"/>
      <c r="D865" s="21"/>
    </row>
    <row r="866" ht="15.75" customHeight="1">
      <c r="B866" s="22"/>
      <c r="D866" s="21"/>
    </row>
    <row r="867" ht="15.75" customHeight="1">
      <c r="B867" s="22"/>
      <c r="D867" s="21"/>
    </row>
    <row r="868" ht="15.75" customHeight="1">
      <c r="B868" s="22"/>
      <c r="D868" s="21"/>
    </row>
    <row r="869" ht="15.75" customHeight="1">
      <c r="B869" s="22"/>
      <c r="D869" s="21"/>
    </row>
    <row r="870" ht="15.75" customHeight="1">
      <c r="B870" s="22"/>
      <c r="D870" s="21"/>
    </row>
    <row r="871" ht="15.75" customHeight="1">
      <c r="B871" s="22"/>
      <c r="D871" s="21"/>
    </row>
    <row r="872" ht="15.75" customHeight="1">
      <c r="B872" s="22"/>
      <c r="D872" s="21"/>
    </row>
    <row r="873" ht="15.75" customHeight="1">
      <c r="B873" s="22"/>
      <c r="D873" s="21"/>
    </row>
    <row r="874" ht="15.75" customHeight="1">
      <c r="B874" s="22"/>
      <c r="D874" s="21"/>
    </row>
    <row r="875" ht="15.75" customHeight="1">
      <c r="B875" s="22"/>
      <c r="D875" s="21"/>
    </row>
    <row r="876" ht="15.75" customHeight="1">
      <c r="B876" s="22"/>
      <c r="D876" s="21"/>
    </row>
    <row r="877" ht="15.75" customHeight="1">
      <c r="B877" s="22"/>
      <c r="D877" s="21"/>
    </row>
    <row r="878" ht="15.75" customHeight="1">
      <c r="B878" s="22"/>
      <c r="D878" s="21"/>
    </row>
    <row r="879" ht="15.75" customHeight="1">
      <c r="B879" s="22"/>
      <c r="D879" s="21"/>
    </row>
    <row r="880" ht="15.75" customHeight="1">
      <c r="B880" s="22"/>
      <c r="D880" s="21"/>
    </row>
    <row r="881" ht="15.75" customHeight="1">
      <c r="B881" s="22"/>
      <c r="D881" s="21"/>
    </row>
    <row r="882" ht="15.75" customHeight="1">
      <c r="B882" s="22"/>
      <c r="D882" s="21"/>
    </row>
    <row r="883" ht="15.75" customHeight="1">
      <c r="B883" s="22"/>
      <c r="D883" s="21"/>
    </row>
    <row r="884" ht="15.75" customHeight="1">
      <c r="B884" s="22"/>
      <c r="D884" s="21"/>
    </row>
    <row r="885" ht="15.75" customHeight="1">
      <c r="B885" s="22"/>
      <c r="D885" s="21"/>
    </row>
    <row r="886" ht="15.75" customHeight="1">
      <c r="B886" s="22"/>
      <c r="D886" s="21"/>
    </row>
    <row r="887" ht="15.75" customHeight="1">
      <c r="B887" s="22"/>
      <c r="D887" s="21"/>
    </row>
    <row r="888" ht="15.75" customHeight="1">
      <c r="B888" s="22"/>
      <c r="D888" s="21"/>
    </row>
    <row r="889" ht="15.75" customHeight="1">
      <c r="B889" s="22"/>
      <c r="D889" s="21"/>
    </row>
    <row r="890" ht="15.75" customHeight="1">
      <c r="B890" s="22"/>
      <c r="D890" s="21"/>
    </row>
    <row r="891" ht="15.75" customHeight="1">
      <c r="B891" s="22"/>
      <c r="D891" s="21"/>
    </row>
    <row r="892" ht="15.75" customHeight="1">
      <c r="B892" s="22"/>
      <c r="D892" s="21"/>
    </row>
    <row r="893" ht="15.75" customHeight="1">
      <c r="B893" s="22"/>
      <c r="D893" s="21"/>
    </row>
    <row r="894" ht="15.75" customHeight="1">
      <c r="B894" s="22"/>
      <c r="D894" s="21"/>
    </row>
    <row r="895" ht="15.75" customHeight="1">
      <c r="B895" s="22"/>
      <c r="D895" s="21"/>
    </row>
    <row r="896" ht="15.75" customHeight="1">
      <c r="B896" s="22"/>
      <c r="D896" s="21"/>
    </row>
    <row r="897" ht="15.75" customHeight="1">
      <c r="B897" s="22"/>
      <c r="D897" s="21"/>
    </row>
    <row r="898" ht="15.75" customHeight="1">
      <c r="B898" s="22"/>
      <c r="D898" s="21"/>
    </row>
    <row r="899" ht="15.75" customHeight="1">
      <c r="B899" s="22"/>
      <c r="D899" s="21"/>
    </row>
    <row r="900" ht="15.75" customHeight="1">
      <c r="B900" s="22"/>
      <c r="D900" s="21"/>
    </row>
    <row r="901" ht="15.75" customHeight="1">
      <c r="B901" s="22"/>
      <c r="D901" s="21"/>
    </row>
    <row r="902" ht="15.75" customHeight="1">
      <c r="B902" s="22"/>
      <c r="D902" s="21"/>
    </row>
    <row r="903" ht="15.75" customHeight="1">
      <c r="B903" s="22"/>
      <c r="D903" s="21"/>
    </row>
    <row r="904" ht="15.75" customHeight="1">
      <c r="B904" s="22"/>
      <c r="D904" s="21"/>
    </row>
    <row r="905" ht="15.75" customHeight="1">
      <c r="B905" s="22"/>
      <c r="D905" s="21"/>
    </row>
    <row r="906" ht="15.75" customHeight="1">
      <c r="B906" s="22"/>
      <c r="D906" s="21"/>
    </row>
    <row r="907" ht="15.75" customHeight="1">
      <c r="B907" s="22"/>
      <c r="D907" s="21"/>
    </row>
    <row r="908" ht="15.75" customHeight="1">
      <c r="B908" s="22"/>
      <c r="D908" s="21"/>
    </row>
    <row r="909" ht="15.75" customHeight="1">
      <c r="B909" s="22"/>
      <c r="D909" s="21"/>
    </row>
    <row r="910" ht="15.75" customHeight="1">
      <c r="B910" s="22"/>
      <c r="D910" s="21"/>
    </row>
    <row r="911" ht="15.75" customHeight="1">
      <c r="B911" s="22"/>
      <c r="D911" s="21"/>
    </row>
    <row r="912" ht="15.75" customHeight="1">
      <c r="B912" s="22"/>
      <c r="D912" s="21"/>
    </row>
    <row r="913" ht="15.75" customHeight="1">
      <c r="B913" s="22"/>
      <c r="D913" s="21"/>
    </row>
    <row r="914" ht="15.75" customHeight="1">
      <c r="B914" s="22"/>
      <c r="D914" s="21"/>
    </row>
    <row r="915" ht="15.75" customHeight="1">
      <c r="B915" s="22"/>
      <c r="D915" s="21"/>
    </row>
    <row r="916" ht="15.75" customHeight="1">
      <c r="B916" s="22"/>
      <c r="D916" s="21"/>
    </row>
    <row r="917" ht="15.75" customHeight="1">
      <c r="B917" s="22"/>
      <c r="D917" s="21"/>
    </row>
    <row r="918" ht="15.75" customHeight="1">
      <c r="B918" s="22"/>
      <c r="D918" s="21"/>
    </row>
    <row r="919" ht="15.75" customHeight="1">
      <c r="B919" s="22"/>
      <c r="D919" s="21"/>
    </row>
    <row r="920" ht="15.75" customHeight="1">
      <c r="B920" s="22"/>
      <c r="D920" s="21"/>
    </row>
    <row r="921" ht="15.75" customHeight="1">
      <c r="B921" s="22"/>
      <c r="D921" s="21"/>
    </row>
    <row r="922" ht="15.75" customHeight="1">
      <c r="B922" s="22"/>
      <c r="D922" s="21"/>
    </row>
    <row r="923" ht="15.75" customHeight="1">
      <c r="B923" s="22"/>
      <c r="D923" s="21"/>
    </row>
    <row r="924" ht="15.75" customHeight="1">
      <c r="B924" s="22"/>
      <c r="D924" s="21"/>
    </row>
    <row r="925" ht="15.75" customHeight="1">
      <c r="B925" s="22"/>
      <c r="D925" s="21"/>
    </row>
    <row r="926" ht="15.75" customHeight="1">
      <c r="B926" s="22"/>
      <c r="D926" s="21"/>
    </row>
    <row r="927" ht="15.75" customHeight="1">
      <c r="B927" s="22"/>
      <c r="D927" s="21"/>
    </row>
    <row r="928" ht="15.75" customHeight="1">
      <c r="B928" s="22"/>
      <c r="D928" s="21"/>
    </row>
    <row r="929" ht="15.75" customHeight="1">
      <c r="B929" s="22"/>
      <c r="D929" s="21"/>
    </row>
    <row r="930" ht="15.75" customHeight="1">
      <c r="B930" s="22"/>
      <c r="D930" s="21"/>
    </row>
    <row r="931" ht="15.75" customHeight="1">
      <c r="B931" s="22"/>
      <c r="D931" s="21"/>
    </row>
    <row r="932" ht="15.75" customHeight="1">
      <c r="B932" s="22"/>
      <c r="D932" s="21"/>
    </row>
    <row r="933" ht="15.75" customHeight="1">
      <c r="B933" s="22"/>
      <c r="D933" s="21"/>
    </row>
    <row r="934" ht="15.75" customHeight="1">
      <c r="B934" s="22"/>
      <c r="D934" s="21"/>
    </row>
    <row r="935" ht="15.75" customHeight="1">
      <c r="B935" s="22"/>
      <c r="D935" s="21"/>
    </row>
    <row r="936" ht="15.75" customHeight="1">
      <c r="B936" s="22"/>
      <c r="D936" s="21"/>
    </row>
    <row r="937" ht="15.75" customHeight="1">
      <c r="B937" s="22"/>
      <c r="D937" s="21"/>
    </row>
    <row r="938" ht="15.75" customHeight="1">
      <c r="B938" s="22"/>
      <c r="D938" s="21"/>
    </row>
    <row r="939" ht="15.75" customHeight="1">
      <c r="B939" s="22"/>
      <c r="D939" s="21"/>
    </row>
    <row r="940" ht="15.75" customHeight="1">
      <c r="B940" s="22"/>
      <c r="D940" s="21"/>
    </row>
    <row r="941" ht="15.75" customHeight="1">
      <c r="B941" s="22"/>
      <c r="D941" s="21"/>
    </row>
    <row r="942" ht="15.75" customHeight="1">
      <c r="B942" s="22"/>
      <c r="D942" s="21"/>
    </row>
    <row r="943" ht="15.75" customHeight="1">
      <c r="B943" s="22"/>
      <c r="D943" s="21"/>
    </row>
    <row r="944" ht="15.75" customHeight="1">
      <c r="B944" s="22"/>
      <c r="D944" s="21"/>
    </row>
    <row r="945" ht="15.75" customHeight="1">
      <c r="B945" s="22"/>
      <c r="D945" s="21"/>
    </row>
    <row r="946" ht="15.75" customHeight="1">
      <c r="B946" s="22"/>
      <c r="D946" s="21"/>
    </row>
    <row r="947" ht="15.75" customHeight="1">
      <c r="B947" s="22"/>
      <c r="D947" s="21"/>
    </row>
    <row r="948" ht="15.75" customHeight="1">
      <c r="B948" s="22"/>
      <c r="D948" s="21"/>
    </row>
    <row r="949" ht="15.75" customHeight="1">
      <c r="B949" s="22"/>
      <c r="D949" s="21"/>
    </row>
    <row r="950" ht="15.75" customHeight="1">
      <c r="B950" s="22"/>
      <c r="D950" s="21"/>
    </row>
    <row r="951" ht="15.75" customHeight="1">
      <c r="B951" s="22"/>
      <c r="D951" s="21"/>
    </row>
    <row r="952" ht="15.75" customHeight="1">
      <c r="B952" s="22"/>
      <c r="D952" s="21"/>
    </row>
    <row r="953" ht="15.75" customHeight="1">
      <c r="B953" s="22"/>
      <c r="D953" s="21"/>
    </row>
    <row r="954" ht="15.75" customHeight="1">
      <c r="B954" s="22"/>
      <c r="D954" s="21"/>
    </row>
    <row r="955" ht="15.75" customHeight="1">
      <c r="B955" s="22"/>
      <c r="D955" s="21"/>
    </row>
    <row r="956" ht="15.75" customHeight="1">
      <c r="B956" s="22"/>
      <c r="D956" s="21"/>
    </row>
    <row r="957" ht="15.75" customHeight="1">
      <c r="B957" s="22"/>
      <c r="D957" s="21"/>
    </row>
    <row r="958" ht="15.75" customHeight="1">
      <c r="B958" s="22"/>
      <c r="D958" s="21"/>
    </row>
    <row r="959" ht="15.75" customHeight="1">
      <c r="B959" s="22"/>
      <c r="D959" s="21"/>
    </row>
    <row r="960" ht="15.75" customHeight="1">
      <c r="B960" s="22"/>
      <c r="D960" s="21"/>
    </row>
    <row r="961" ht="15.75" customHeight="1">
      <c r="B961" s="22"/>
      <c r="D961" s="21"/>
    </row>
    <row r="962" ht="15.75" customHeight="1">
      <c r="B962" s="22"/>
      <c r="D962" s="21"/>
    </row>
    <row r="963" ht="15.75" customHeight="1">
      <c r="B963" s="22"/>
      <c r="D963" s="21"/>
    </row>
    <row r="964" ht="15.75" customHeight="1">
      <c r="B964" s="22"/>
      <c r="D964" s="21"/>
    </row>
    <row r="965" ht="15.75" customHeight="1">
      <c r="B965" s="22"/>
      <c r="D965" s="21"/>
    </row>
    <row r="966" ht="15.75" customHeight="1">
      <c r="B966" s="22"/>
      <c r="D966" s="21"/>
    </row>
    <row r="967" ht="15.75" customHeight="1">
      <c r="B967" s="22"/>
      <c r="D967" s="21"/>
    </row>
    <row r="968" ht="15.75" customHeight="1">
      <c r="B968" s="22"/>
      <c r="D968" s="21"/>
    </row>
    <row r="969" ht="15.75" customHeight="1">
      <c r="B969" s="22"/>
      <c r="D969" s="21"/>
    </row>
    <row r="970" ht="15.75" customHeight="1">
      <c r="B970" s="22"/>
      <c r="D970" s="21"/>
    </row>
    <row r="971" ht="15.75" customHeight="1">
      <c r="B971" s="22"/>
      <c r="D971" s="21"/>
    </row>
    <row r="972" ht="15.75" customHeight="1">
      <c r="B972" s="22"/>
      <c r="D972" s="21"/>
    </row>
    <row r="973" ht="15.75" customHeight="1">
      <c r="B973" s="22"/>
      <c r="D973" s="21"/>
    </row>
    <row r="974" ht="15.75" customHeight="1">
      <c r="B974" s="22"/>
      <c r="D974" s="21"/>
    </row>
    <row r="975" ht="15.75" customHeight="1">
      <c r="B975" s="22"/>
      <c r="D975" s="21"/>
    </row>
    <row r="976" ht="15.75" customHeight="1">
      <c r="B976" s="22"/>
      <c r="D976" s="21"/>
    </row>
    <row r="977" ht="15.75" customHeight="1">
      <c r="B977" s="22"/>
      <c r="D977" s="21"/>
    </row>
    <row r="978" ht="15.75" customHeight="1">
      <c r="B978" s="22"/>
      <c r="D978" s="21"/>
    </row>
    <row r="979" ht="15.75" customHeight="1">
      <c r="B979" s="22"/>
      <c r="D979" s="21"/>
    </row>
    <row r="980" ht="15.75" customHeight="1">
      <c r="B980" s="22"/>
      <c r="D980" s="21"/>
    </row>
    <row r="981" ht="15.75" customHeight="1">
      <c r="B981" s="22"/>
      <c r="D981" s="21"/>
    </row>
    <row r="982" ht="15.75" customHeight="1">
      <c r="B982" s="22"/>
      <c r="D982" s="21"/>
    </row>
    <row r="983" ht="15.75" customHeight="1">
      <c r="B983" s="22"/>
      <c r="D983" s="21"/>
    </row>
    <row r="984" ht="15.75" customHeight="1">
      <c r="B984" s="22"/>
      <c r="D984" s="21"/>
    </row>
    <row r="985" ht="15.75" customHeight="1">
      <c r="B985" s="22"/>
      <c r="D985" s="21"/>
    </row>
    <row r="986" ht="15.75" customHeight="1">
      <c r="B986" s="22"/>
      <c r="D986" s="21"/>
    </row>
    <row r="987" ht="15.75" customHeight="1">
      <c r="B987" s="22"/>
      <c r="D987" s="21"/>
    </row>
    <row r="988" ht="15.75" customHeight="1">
      <c r="B988" s="22"/>
      <c r="D988" s="21"/>
    </row>
    <row r="989" ht="15.75" customHeight="1">
      <c r="B989" s="22"/>
      <c r="D989" s="21"/>
    </row>
    <row r="990" ht="15.75" customHeight="1">
      <c r="B990" s="22"/>
      <c r="D990" s="21"/>
    </row>
    <row r="991" ht="15.75" customHeight="1">
      <c r="B991" s="22"/>
      <c r="D991" s="21"/>
    </row>
    <row r="992" ht="15.75" customHeight="1">
      <c r="B992" s="22"/>
      <c r="D992" s="21"/>
    </row>
    <row r="993" ht="15.75" customHeight="1">
      <c r="B993" s="22"/>
      <c r="D993" s="21"/>
    </row>
    <row r="994" ht="15.75" customHeight="1">
      <c r="B994" s="22"/>
      <c r="D994" s="21"/>
    </row>
    <row r="995" ht="15.75" customHeight="1">
      <c r="B995" s="22"/>
      <c r="D995" s="21"/>
    </row>
    <row r="996" ht="15.75" customHeight="1">
      <c r="B996" s="22"/>
      <c r="D996" s="21"/>
    </row>
    <row r="997" ht="15.75" customHeight="1">
      <c r="B997" s="22"/>
      <c r="D997" s="21"/>
    </row>
    <row r="998" ht="15.75" customHeight="1">
      <c r="B998" s="22"/>
      <c r="D998" s="21"/>
    </row>
    <row r="999" ht="15.75" customHeight="1">
      <c r="B999" s="22"/>
      <c r="D999" s="21"/>
    </row>
    <row r="1000" ht="15.75" customHeight="1">
      <c r="B1000" s="22"/>
      <c r="D1000" s="21"/>
    </row>
  </sheetData>
  <mergeCells count="48">
    <mergeCell ref="D23:D29"/>
    <mergeCell ref="E26:E27"/>
    <mergeCell ref="F26:F27"/>
    <mergeCell ref="G26:G27"/>
    <mergeCell ref="E28:E29"/>
    <mergeCell ref="F28:F29"/>
    <mergeCell ref="G28:G29"/>
    <mergeCell ref="A30:A57"/>
    <mergeCell ref="B30:B57"/>
    <mergeCell ref="A58:A85"/>
    <mergeCell ref="B58:B85"/>
    <mergeCell ref="A86:A99"/>
    <mergeCell ref="B86:B99"/>
    <mergeCell ref="A2:A29"/>
    <mergeCell ref="B2:B29"/>
    <mergeCell ref="C2:C8"/>
    <mergeCell ref="D2:D8"/>
    <mergeCell ref="C9:C15"/>
    <mergeCell ref="D16:D22"/>
    <mergeCell ref="D9:D15"/>
    <mergeCell ref="C44:C50"/>
    <mergeCell ref="C51:C57"/>
    <mergeCell ref="E56:E57"/>
    <mergeCell ref="F56:F57"/>
    <mergeCell ref="G56:G57"/>
    <mergeCell ref="C16:C22"/>
    <mergeCell ref="C23:C29"/>
    <mergeCell ref="C30:C36"/>
    <mergeCell ref="D30:D36"/>
    <mergeCell ref="C37:C43"/>
    <mergeCell ref="D37:D43"/>
    <mergeCell ref="D44:D50"/>
    <mergeCell ref="D51:D57"/>
    <mergeCell ref="C58:C64"/>
    <mergeCell ref="D58:D64"/>
    <mergeCell ref="E63:E64"/>
    <mergeCell ref="F63:F64"/>
    <mergeCell ref="G63:G64"/>
    <mergeCell ref="D65:D71"/>
    <mergeCell ref="C93:C99"/>
    <mergeCell ref="D93:D99"/>
    <mergeCell ref="C65:C71"/>
    <mergeCell ref="C72:C78"/>
    <mergeCell ref="D72:D78"/>
    <mergeCell ref="C79:C85"/>
    <mergeCell ref="D79:D85"/>
    <mergeCell ref="C86:C92"/>
    <mergeCell ref="D86:D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1.0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28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29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30</v>
      </c>
      <c r="C9" s="44" t="s">
        <v>152</v>
      </c>
      <c r="D9" s="45"/>
      <c r="E9" s="44"/>
      <c r="F9" s="44"/>
      <c r="G9" s="44"/>
      <c r="H9" s="44"/>
      <c r="I9" s="44"/>
      <c r="J9" s="44">
        <f t="shared" ref="J9:J15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4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32</v>
      </c>
      <c r="C10" s="18" t="s">
        <v>152</v>
      </c>
      <c r="D10" s="46" t="s">
        <v>152</v>
      </c>
      <c r="E10" s="47"/>
      <c r="F10" s="47"/>
      <c r="G10" s="47"/>
      <c r="H10" s="47"/>
      <c r="I10" s="47"/>
      <c r="J10" s="44">
        <f t="shared" si="1"/>
        <v>25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33</v>
      </c>
      <c r="C11" s="46" t="s">
        <v>152</v>
      </c>
      <c r="D11" s="46" t="s">
        <v>152</v>
      </c>
      <c r="E11" s="47"/>
      <c r="F11" s="47"/>
      <c r="G11" s="47"/>
      <c r="H11" s="47"/>
      <c r="I11" s="47"/>
      <c r="J11" s="44">
        <f t="shared" si="1"/>
        <v>25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34</v>
      </c>
      <c r="C12" s="46" t="s">
        <v>152</v>
      </c>
      <c r="D12" s="46" t="s">
        <v>152</v>
      </c>
      <c r="E12" s="47"/>
      <c r="F12" s="46"/>
      <c r="G12" s="47"/>
      <c r="H12" s="47"/>
      <c r="I12" s="47"/>
      <c r="J12" s="44">
        <f t="shared" si="1"/>
        <v>25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35</v>
      </c>
      <c r="C13" s="46"/>
      <c r="D13" s="47"/>
      <c r="E13" s="46" t="s">
        <v>152</v>
      </c>
      <c r="F13" s="47"/>
      <c r="G13" s="47"/>
      <c r="H13" s="47"/>
      <c r="I13" s="47"/>
      <c r="J13" s="44">
        <f t="shared" si="1"/>
        <v>10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7">
        <v>6.0</v>
      </c>
      <c r="B14" s="13" t="s">
        <v>36</v>
      </c>
      <c r="C14" s="47"/>
      <c r="D14" s="47"/>
      <c r="E14" s="47"/>
      <c r="F14" s="46" t="s">
        <v>152</v>
      </c>
      <c r="G14" s="47"/>
      <c r="H14" s="47"/>
      <c r="I14" s="47"/>
      <c r="J14" s="44">
        <f t="shared" si="1"/>
        <v>15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37</v>
      </c>
      <c r="C15" s="47"/>
      <c r="D15" s="47"/>
      <c r="E15" s="47"/>
      <c r="F15" s="46"/>
      <c r="G15" s="46" t="s">
        <v>152</v>
      </c>
      <c r="H15" s="47"/>
      <c r="I15" s="47"/>
      <c r="J15" s="44">
        <f t="shared" si="1"/>
        <v>5</v>
      </c>
      <c r="K15" s="47"/>
      <c r="L15" s="47"/>
      <c r="M15" s="47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48" t="s">
        <v>153</v>
      </c>
      <c r="J16" s="49">
        <f>SUM(J9:J15)</f>
        <v>120</v>
      </c>
      <c r="K16" s="25"/>
      <c r="L16" s="50" t="s">
        <v>154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156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1.0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2.0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28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39</v>
      </c>
      <c r="C9" s="44" t="s">
        <v>152</v>
      </c>
      <c r="D9" s="45"/>
      <c r="E9" s="44"/>
      <c r="F9" s="44"/>
      <c r="G9" s="44"/>
      <c r="H9" s="44"/>
      <c r="I9" s="44"/>
      <c r="J9" s="44">
        <f t="shared" ref="J9:J14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4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40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41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42</v>
      </c>
      <c r="C12" s="46" t="s">
        <v>152</v>
      </c>
      <c r="D12" s="46"/>
      <c r="E12" s="47"/>
      <c r="F12" s="46" t="s">
        <v>152</v>
      </c>
      <c r="G12" s="47"/>
      <c r="H12" s="47"/>
      <c r="I12" s="47"/>
      <c r="J12" s="44">
        <f t="shared" si="1"/>
        <v>30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43</v>
      </c>
      <c r="C13" s="46"/>
      <c r="D13" s="46" t="s">
        <v>152</v>
      </c>
      <c r="E13" s="46"/>
      <c r="F13" s="47"/>
      <c r="G13" s="47"/>
      <c r="H13" s="47"/>
      <c r="I13" s="47"/>
      <c r="J13" s="44">
        <f t="shared" si="1"/>
        <v>10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7">
        <v>6.0</v>
      </c>
      <c r="B14" s="13" t="s">
        <v>158</v>
      </c>
      <c r="C14" s="47"/>
      <c r="D14" s="47"/>
      <c r="E14" s="47"/>
      <c r="F14" s="46" t="s">
        <v>152</v>
      </c>
      <c r="G14" s="47"/>
      <c r="H14" s="47"/>
      <c r="I14" s="47"/>
      <c r="J14" s="44">
        <f t="shared" si="1"/>
        <v>15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48" t="s">
        <v>153</v>
      </c>
      <c r="J15" s="49">
        <f>SUM(J7:J14)</f>
        <v>100</v>
      </c>
      <c r="K15" s="25"/>
      <c r="L15" s="50" t="s">
        <v>154</v>
      </c>
      <c r="M15" s="25">
        <f>sum(M9:M14)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159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1.0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3.0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28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160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47</v>
      </c>
      <c r="C9" s="44" t="s">
        <v>152</v>
      </c>
      <c r="D9" s="45"/>
      <c r="E9" s="44"/>
      <c r="F9" s="44"/>
      <c r="G9" s="44"/>
      <c r="H9" s="45"/>
      <c r="I9" s="44"/>
      <c r="J9" s="44">
        <f t="shared" ref="J9:J15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5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48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49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50</v>
      </c>
      <c r="C12" s="46" t="s">
        <v>152</v>
      </c>
      <c r="D12" s="46"/>
      <c r="E12" s="46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51</v>
      </c>
      <c r="C13" s="46"/>
      <c r="D13" s="46" t="s">
        <v>152</v>
      </c>
      <c r="E13" s="46"/>
      <c r="F13" s="46" t="s">
        <v>152</v>
      </c>
      <c r="G13" s="47"/>
      <c r="H13" s="47"/>
      <c r="I13" s="47"/>
      <c r="J13" s="44">
        <f t="shared" si="1"/>
        <v>25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18">
        <v>6.0</v>
      </c>
      <c r="B14" s="13" t="s">
        <v>52</v>
      </c>
      <c r="C14" s="47"/>
      <c r="D14" s="47"/>
      <c r="E14" s="47"/>
      <c r="F14" s="46"/>
      <c r="G14" s="46" t="s">
        <v>152</v>
      </c>
      <c r="H14" s="47"/>
      <c r="I14" s="47"/>
      <c r="J14" s="44">
        <f t="shared" si="1"/>
        <v>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53</v>
      </c>
      <c r="C15" s="47"/>
      <c r="D15" s="47"/>
      <c r="E15" s="46" t="s">
        <v>152</v>
      </c>
      <c r="F15" s="46"/>
      <c r="G15" s="47"/>
      <c r="H15" s="47"/>
      <c r="I15" s="47"/>
      <c r="J15" s="44">
        <f t="shared" si="1"/>
        <v>10</v>
      </c>
      <c r="K15" s="46">
        <v>0.0</v>
      </c>
      <c r="L15" s="46">
        <v>0.0</v>
      </c>
      <c r="M15" s="47">
        <f t="shared" si="2"/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100</v>
      </c>
      <c r="K16" s="25"/>
      <c r="L16" s="50" t="s">
        <v>154</v>
      </c>
      <c r="M16" s="25">
        <f>sum(M9:M14)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161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6">
        <v>1.0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4.0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28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55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55</v>
      </c>
      <c r="C9" s="45" t="s">
        <v>162</v>
      </c>
      <c r="D9" s="45"/>
      <c r="E9" s="44"/>
      <c r="F9" s="44"/>
      <c r="G9" s="44"/>
      <c r="H9" s="45"/>
      <c r="I9" s="44"/>
      <c r="J9" s="44">
        <f t="shared" ref="J9:J13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56</v>
      </c>
      <c r="C10" s="18" t="s">
        <v>162</v>
      </c>
      <c r="D10" s="46" t="s">
        <v>162</v>
      </c>
      <c r="E10" s="47"/>
      <c r="F10" s="47"/>
      <c r="G10" s="47"/>
      <c r="H10" s="46"/>
      <c r="I10" s="47"/>
      <c r="J10" s="44">
        <f t="shared" si="1"/>
        <v>25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57</v>
      </c>
      <c r="C11" s="46" t="s">
        <v>152</v>
      </c>
      <c r="D11" s="46"/>
      <c r="E11" s="47"/>
      <c r="F11" s="46" t="s">
        <v>162</v>
      </c>
      <c r="G11" s="46"/>
      <c r="H11" s="46"/>
      <c r="I11" s="47"/>
      <c r="J11" s="44">
        <f t="shared" si="1"/>
        <v>30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1" t="s">
        <v>58</v>
      </c>
      <c r="C12" s="46" t="s">
        <v>162</v>
      </c>
      <c r="D12" s="46" t="s">
        <v>162</v>
      </c>
      <c r="E12" s="47"/>
      <c r="F12" s="46"/>
      <c r="G12" s="46"/>
      <c r="H12" s="47"/>
      <c r="I12" s="47"/>
      <c r="J12" s="44">
        <f t="shared" si="1"/>
        <v>25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6">
        <v>5.0</v>
      </c>
      <c r="B13" s="3" t="s">
        <v>59</v>
      </c>
      <c r="C13" s="46"/>
      <c r="D13" s="47"/>
      <c r="E13" s="46"/>
      <c r="F13" s="46"/>
      <c r="G13" s="46" t="s">
        <v>152</v>
      </c>
      <c r="H13" s="47"/>
      <c r="I13" s="46"/>
      <c r="J13" s="44">
        <f t="shared" si="1"/>
        <v>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48" t="s">
        <v>153</v>
      </c>
      <c r="J14" s="49">
        <f>SUM(J7:J13)</f>
        <v>100</v>
      </c>
      <c r="K14" s="25"/>
      <c r="L14" s="50" t="s">
        <v>154</v>
      </c>
      <c r="M14" s="25">
        <f>sum(M9:M13)</f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51" t="s">
        <v>155</v>
      </c>
      <c r="B15" s="25"/>
      <c r="C15" s="25"/>
      <c r="D15" s="25"/>
      <c r="E15" s="25"/>
      <c r="F15" s="25"/>
      <c r="G15" s="25"/>
      <c r="H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51" t="s">
        <v>163</v>
      </c>
      <c r="B16" s="25"/>
      <c r="C16" s="25"/>
      <c r="D16" s="25"/>
      <c r="E16" s="25"/>
      <c r="F16" s="25"/>
      <c r="G16" s="25"/>
      <c r="H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157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23" t="s">
        <v>141</v>
      </c>
      <c r="B1" s="52" t="s">
        <v>164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5.75" customHeight="1">
      <c r="A2" s="23" t="s">
        <v>23</v>
      </c>
      <c r="B2" s="53">
        <v>1.0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15.75" customHeight="1">
      <c r="A3" s="23" t="s">
        <v>22</v>
      </c>
      <c r="B3" s="54" t="s">
        <v>165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15.75" customHeight="1">
      <c r="A4" s="23" t="s">
        <v>24</v>
      </c>
      <c r="B4" s="50" t="s">
        <v>166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15.75" customHeight="1">
      <c r="A5" s="25"/>
      <c r="B5" s="50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15.75" customHeight="1">
      <c r="A6" s="29" t="s">
        <v>25</v>
      </c>
      <c r="B6" s="55" t="s">
        <v>142</v>
      </c>
      <c r="C6" s="34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15.75" customHeight="1">
      <c r="A7" s="38"/>
      <c r="B7" s="55" t="s">
        <v>167</v>
      </c>
      <c r="C7" s="56">
        <v>15.0</v>
      </c>
      <c r="D7" s="39">
        <v>10.0</v>
      </c>
      <c r="E7" s="39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15.75" customHeight="1">
      <c r="A8" s="42"/>
      <c r="B8" s="55" t="s">
        <v>24</v>
      </c>
      <c r="C8" s="42"/>
      <c r="D8" s="42"/>
      <c r="E8" s="42"/>
      <c r="F8" s="42"/>
      <c r="G8" s="42"/>
      <c r="H8" s="42"/>
      <c r="I8" s="42"/>
      <c r="J8" s="42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15.75" customHeight="1">
      <c r="A9" s="43">
        <v>1.0</v>
      </c>
      <c r="B9" s="57" t="s">
        <v>168</v>
      </c>
      <c r="C9" s="25"/>
      <c r="D9" s="43" t="s">
        <v>162</v>
      </c>
      <c r="E9" s="43" t="s">
        <v>162</v>
      </c>
      <c r="F9" s="43"/>
      <c r="G9" s="43"/>
      <c r="H9" s="43" t="s">
        <v>162</v>
      </c>
      <c r="I9" s="43"/>
      <c r="J9" s="43">
        <f t="shared" ref="J9:J14" si="1">if(D9="X",$D$7,0)+if(E9="X",$E$7,0)+if(F9="X",$F$7,0)+if(G9="X",$G$7,0)+if(H9="X",$H$7,0)+if(I9="X",$I$7,0)</f>
        <v>25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15.75" customHeight="1">
      <c r="A10" s="47">
        <v>2.0</v>
      </c>
      <c r="B10" s="58" t="s">
        <v>169</v>
      </c>
      <c r="C10" s="47"/>
      <c r="D10" s="47" t="s">
        <v>162</v>
      </c>
      <c r="E10" s="47"/>
      <c r="F10" s="47" t="s">
        <v>162</v>
      </c>
      <c r="G10" s="47"/>
      <c r="H10" s="47"/>
      <c r="I10" s="47"/>
      <c r="J10" s="43">
        <f t="shared" si="1"/>
        <v>25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15.75" customHeight="1">
      <c r="A11" s="47">
        <v>3.0</v>
      </c>
      <c r="B11" s="50" t="s">
        <v>170</v>
      </c>
      <c r="C11" s="25"/>
      <c r="D11" s="47" t="s">
        <v>152</v>
      </c>
      <c r="E11" s="47" t="s">
        <v>152</v>
      </c>
      <c r="F11" s="47"/>
      <c r="G11" s="47"/>
      <c r="H11" s="47" t="s">
        <v>152</v>
      </c>
      <c r="I11" s="47"/>
      <c r="J11" s="43">
        <f t="shared" si="1"/>
        <v>25</v>
      </c>
      <c r="K11" s="25"/>
      <c r="L11" s="50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15.75" customHeight="1">
      <c r="A12" s="47">
        <v>4.0</v>
      </c>
      <c r="B12" s="58" t="s">
        <v>171</v>
      </c>
      <c r="C12" s="47"/>
      <c r="D12" s="47" t="s">
        <v>152</v>
      </c>
      <c r="E12" s="47"/>
      <c r="F12" s="47" t="s">
        <v>152</v>
      </c>
      <c r="G12" s="47"/>
      <c r="H12" s="47"/>
      <c r="I12" s="47"/>
      <c r="J12" s="43">
        <f t="shared" si="1"/>
        <v>25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5.75" customHeight="1">
      <c r="A13" s="47">
        <v>5.0</v>
      </c>
      <c r="B13" s="58" t="s">
        <v>172</v>
      </c>
      <c r="C13" s="47"/>
      <c r="D13" s="47"/>
      <c r="E13" s="47" t="s">
        <v>152</v>
      </c>
      <c r="F13" s="47" t="s">
        <v>152</v>
      </c>
      <c r="G13" s="47"/>
      <c r="H13" s="47"/>
      <c r="I13" s="47"/>
      <c r="J13" s="43">
        <f t="shared" si="1"/>
        <v>25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15.75" customHeight="1">
      <c r="A14" s="47">
        <v>6.0</v>
      </c>
      <c r="B14" s="58" t="s">
        <v>173</v>
      </c>
      <c r="C14" s="47"/>
      <c r="D14" s="47"/>
      <c r="E14" s="47"/>
      <c r="F14" s="47"/>
      <c r="G14" s="47" t="s">
        <v>152</v>
      </c>
      <c r="H14" s="47"/>
      <c r="I14" s="47" t="s">
        <v>152</v>
      </c>
      <c r="J14" s="43">
        <f t="shared" si="1"/>
        <v>20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15.75" customHeight="1">
      <c r="A15" s="25"/>
      <c r="B15" s="50"/>
      <c r="C15" s="25"/>
      <c r="D15" s="25"/>
      <c r="E15" s="25"/>
      <c r="F15" s="25"/>
      <c r="G15" s="25"/>
      <c r="H15" s="59" t="s">
        <v>174</v>
      </c>
      <c r="J15" s="59">
        <f>SUM(J7:J14)</f>
        <v>145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ht="15.75" customHeight="1">
      <c r="A16" s="25"/>
      <c r="B16" s="50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15.75" customHeight="1">
      <c r="A17" s="25"/>
      <c r="B17" s="5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15.75" customHeight="1">
      <c r="A18" s="25"/>
      <c r="B18" s="5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ht="15.75" customHeight="1">
      <c r="A19" s="25"/>
      <c r="B19" s="5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15.75" customHeight="1">
      <c r="A20" s="25"/>
      <c r="B20" s="5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t="15.75" customHeight="1">
      <c r="A21" s="25"/>
      <c r="B21" s="5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ht="15.75" customHeight="1">
      <c r="A22" s="25"/>
      <c r="B22" s="5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ht="15.75" customHeight="1">
      <c r="A23" s="25"/>
      <c r="B23" s="5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ht="15.75" customHeight="1">
      <c r="A24" s="25"/>
      <c r="B24" s="5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ht="15.75" customHeight="1">
      <c r="A25" s="25"/>
      <c r="B25" s="5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15.75" customHeight="1">
      <c r="A26" s="25"/>
      <c r="B26" s="5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ht="15.75" customHeight="1">
      <c r="A27" s="25"/>
      <c r="B27" s="5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15.75" customHeight="1">
      <c r="A28" s="25"/>
      <c r="B28" s="5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15.75" customHeight="1">
      <c r="A29" s="25"/>
      <c r="B29" s="5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15.75" customHeight="1">
      <c r="A30" s="25"/>
      <c r="B30" s="5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15.75" customHeight="1">
      <c r="A31" s="25"/>
      <c r="B31" s="5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15.75" customHeight="1">
      <c r="A32" s="25"/>
      <c r="B32" s="50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15.75" customHeight="1">
      <c r="A33" s="25"/>
      <c r="B33" s="50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ht="15.75" customHeight="1">
      <c r="A34" s="25"/>
      <c r="B34" s="50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ht="15.75" customHeight="1">
      <c r="A35" s="25"/>
      <c r="B35" s="5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15.75" customHeight="1">
      <c r="A36" s="25"/>
      <c r="B36" s="5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15.75" customHeight="1">
      <c r="A37" s="25"/>
      <c r="B37" s="50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15.75" customHeight="1">
      <c r="A38" s="25"/>
      <c r="B38" s="5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ht="15.75" customHeight="1">
      <c r="A39" s="25"/>
      <c r="B39" s="50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15.75" customHeight="1">
      <c r="A40" s="25"/>
      <c r="B40" s="50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15.75" customHeight="1">
      <c r="A41" s="25"/>
      <c r="B41" s="5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ht="15.75" customHeight="1">
      <c r="A42" s="25"/>
      <c r="B42" s="5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15.75" customHeight="1">
      <c r="A43" s="25"/>
      <c r="B43" s="5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15.75" customHeight="1">
      <c r="A44" s="25"/>
      <c r="B44" s="5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ht="15.75" customHeight="1">
      <c r="A45" s="25"/>
      <c r="B45" s="5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5.75" customHeight="1">
      <c r="A46" s="25"/>
      <c r="B46" s="5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5.75" customHeight="1">
      <c r="A47" s="25"/>
      <c r="B47" s="5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15.75" customHeight="1">
      <c r="A48" s="25"/>
      <c r="B48" s="5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15.75" customHeight="1">
      <c r="A49" s="25"/>
      <c r="B49" s="5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15.75" customHeight="1">
      <c r="A50" s="25"/>
      <c r="B50" s="5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ht="15.75" customHeight="1">
      <c r="A51" s="25"/>
      <c r="B51" s="5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15.75" customHeight="1">
      <c r="A52" s="25"/>
      <c r="B52" s="5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15.75" customHeight="1">
      <c r="A53" s="25"/>
      <c r="B53" s="5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ht="15.75" customHeight="1">
      <c r="A54" s="25"/>
      <c r="B54" s="5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15.75" customHeight="1">
      <c r="A55" s="25"/>
      <c r="B55" s="5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15.75" customHeight="1">
      <c r="A56" s="25"/>
      <c r="B56" s="5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ht="15.75" customHeight="1">
      <c r="A57" s="25"/>
      <c r="B57" s="5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15.75" customHeight="1">
      <c r="A58" s="25"/>
      <c r="B58" s="5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15.75" customHeight="1">
      <c r="A59" s="25"/>
      <c r="B59" s="5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ht="15.75" customHeight="1">
      <c r="A60" s="25"/>
      <c r="B60" s="5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15.75" customHeight="1">
      <c r="A61" s="25"/>
      <c r="B61" s="5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15.75" customHeight="1">
      <c r="A62" s="25"/>
      <c r="B62" s="5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ht="15.75" customHeight="1">
      <c r="A63" s="25"/>
      <c r="B63" s="50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15.75" customHeight="1">
      <c r="A64" s="25"/>
      <c r="B64" s="5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15.75" customHeight="1">
      <c r="A65" s="25"/>
      <c r="B65" s="50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ht="15.75" customHeight="1">
      <c r="A66" s="25"/>
      <c r="B66" s="5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5.75" customHeight="1">
      <c r="A67" s="25"/>
      <c r="B67" s="5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5.75" customHeight="1">
      <c r="A68" s="25"/>
      <c r="B68" s="5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ht="15.75" customHeight="1">
      <c r="A69" s="25"/>
      <c r="B69" s="50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5.75" customHeight="1">
      <c r="A70" s="25"/>
      <c r="B70" s="50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5.75" customHeight="1">
      <c r="A71" s="25"/>
      <c r="B71" s="50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15.75" customHeight="1">
      <c r="A72" s="25"/>
      <c r="B72" s="50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15.75" customHeight="1">
      <c r="A73" s="25"/>
      <c r="B73" s="5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ht="15.75" customHeight="1">
      <c r="A74" s="25"/>
      <c r="B74" s="5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15.75" customHeight="1">
      <c r="A75" s="25"/>
      <c r="B75" s="50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ht="15.75" customHeight="1">
      <c r="A76" s="25"/>
      <c r="B76" s="50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ht="15.75" customHeight="1">
      <c r="A77" s="25"/>
      <c r="B77" s="50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15.75" customHeight="1">
      <c r="A78" s="25"/>
      <c r="B78" s="50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ht="15.75" customHeight="1">
      <c r="A79" s="25"/>
      <c r="B79" s="50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ht="15.75" customHeight="1">
      <c r="A80" s="25"/>
      <c r="B80" s="50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ht="15.75" customHeight="1">
      <c r="A81" s="25"/>
      <c r="B81" s="50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ht="15.75" customHeight="1">
      <c r="A82" s="25"/>
      <c r="B82" s="50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ht="15.75" customHeight="1">
      <c r="A83" s="25"/>
      <c r="B83" s="50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ht="15.75" customHeight="1">
      <c r="A84" s="25"/>
      <c r="B84" s="5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ht="15.75" customHeight="1">
      <c r="A85" s="25"/>
      <c r="B85" s="50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ht="15.75" customHeight="1">
      <c r="A86" s="25"/>
      <c r="B86" s="50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ht="15.75" customHeight="1">
      <c r="A87" s="25"/>
      <c r="B87" s="50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ht="15.75" customHeight="1">
      <c r="A88" s="25"/>
      <c r="B88" s="50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ht="15.75" customHeight="1">
      <c r="A89" s="25"/>
      <c r="B89" s="50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ht="15.75" customHeight="1">
      <c r="A90" s="25"/>
      <c r="B90" s="5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ht="15.75" customHeight="1">
      <c r="A91" s="25"/>
      <c r="B91" s="50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ht="15.75" customHeight="1">
      <c r="A92" s="25"/>
      <c r="B92" s="50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ht="15.75" customHeight="1">
      <c r="A93" s="25"/>
      <c r="B93" s="50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ht="15.75" customHeight="1">
      <c r="A94" s="25"/>
      <c r="B94" s="5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ht="15.75" customHeight="1">
      <c r="A95" s="25"/>
      <c r="B95" s="50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ht="15.75" customHeight="1">
      <c r="A96" s="25"/>
      <c r="B96" s="50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ht="15.75" customHeight="1">
      <c r="A97" s="25"/>
      <c r="B97" s="50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ht="15.75" customHeight="1">
      <c r="A98" s="25"/>
      <c r="B98" s="50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ht="15.75" customHeight="1">
      <c r="A99" s="25"/>
      <c r="B99" s="5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ht="15.75" customHeight="1">
      <c r="A100" s="25"/>
      <c r="B100" s="5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ht="15.75" customHeight="1">
      <c r="A101" s="25"/>
      <c r="B101" s="5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ht="15.75" customHeight="1">
      <c r="A102" s="25"/>
      <c r="B102" s="50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ht="15.75" customHeight="1">
      <c r="A103" s="25"/>
      <c r="B103" s="50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ht="15.75" customHeight="1">
      <c r="A104" s="25"/>
      <c r="B104" s="5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ht="15.75" customHeight="1">
      <c r="A105" s="25"/>
      <c r="B105" s="5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ht="15.75" customHeight="1">
      <c r="A106" s="25"/>
      <c r="B106" s="50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ht="15.75" customHeight="1">
      <c r="A107" s="25"/>
      <c r="B107" s="50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ht="15.75" customHeight="1">
      <c r="A108" s="25"/>
      <c r="B108" s="50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15.75" customHeight="1">
      <c r="A109" s="25"/>
      <c r="B109" s="5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ht="15.75" customHeight="1">
      <c r="A110" s="25"/>
      <c r="B110" s="5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ht="15.75" customHeight="1">
      <c r="A111" s="25"/>
      <c r="B111" s="50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ht="15.75" customHeight="1">
      <c r="A112" s="25"/>
      <c r="B112" s="50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ht="15.75" customHeight="1">
      <c r="A113" s="25"/>
      <c r="B113" s="5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ht="15.75" customHeight="1">
      <c r="A114" s="25"/>
      <c r="B114" s="50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15.75" customHeight="1">
      <c r="A115" s="25"/>
      <c r="B115" s="50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15.75" customHeight="1">
      <c r="A116" s="25"/>
      <c r="B116" s="50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15.75" customHeight="1">
      <c r="A117" s="25"/>
      <c r="B117" s="50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ht="15.75" customHeight="1">
      <c r="A118" s="25"/>
      <c r="B118" s="50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ht="15.75" customHeight="1">
      <c r="A119" s="25"/>
      <c r="B119" s="50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ht="15.75" customHeight="1">
      <c r="A120" s="25"/>
      <c r="B120" s="50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ht="15.75" customHeight="1">
      <c r="A121" s="25"/>
      <c r="B121" s="50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ht="15.75" customHeight="1">
      <c r="A122" s="25"/>
      <c r="B122" s="50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ht="15.75" customHeight="1">
      <c r="A123" s="25"/>
      <c r="B123" s="50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15.75" customHeight="1">
      <c r="A124" s="25"/>
      <c r="B124" s="50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ht="15.75" customHeight="1">
      <c r="A125" s="25"/>
      <c r="B125" s="50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ht="15.75" customHeight="1">
      <c r="A126" s="25"/>
      <c r="B126" s="50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ht="15.75" customHeight="1">
      <c r="A127" s="25"/>
      <c r="B127" s="50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ht="15.75" customHeight="1">
      <c r="A128" s="25"/>
      <c r="B128" s="50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ht="15.75" customHeight="1">
      <c r="A129" s="25"/>
      <c r="B129" s="50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ht="15.75" customHeight="1">
      <c r="A130" s="25"/>
      <c r="B130" s="50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ht="15.75" customHeight="1">
      <c r="A131" s="25"/>
      <c r="B131" s="50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ht="15.75" customHeight="1">
      <c r="A132" s="25"/>
      <c r="B132" s="50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ht="15.75" customHeight="1">
      <c r="A133" s="25"/>
      <c r="B133" s="50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ht="15.75" customHeight="1">
      <c r="A134" s="25"/>
      <c r="B134" s="50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15.75" customHeight="1">
      <c r="A135" s="25"/>
      <c r="B135" s="50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ht="15.75" customHeight="1">
      <c r="A136" s="25"/>
      <c r="B136" s="50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ht="15.75" customHeight="1">
      <c r="A137" s="25"/>
      <c r="B137" s="50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ht="15.75" customHeight="1">
      <c r="A138" s="25"/>
      <c r="B138" s="50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ht="15.75" customHeight="1">
      <c r="A139" s="25"/>
      <c r="B139" s="50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ht="15.75" customHeight="1">
      <c r="A140" s="25"/>
      <c r="B140" s="50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ht="15.75" customHeight="1">
      <c r="A141" s="25"/>
      <c r="B141" s="50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15.75" customHeight="1">
      <c r="A142" s="25"/>
      <c r="B142" s="50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ht="15.75" customHeight="1">
      <c r="A143" s="25"/>
      <c r="B143" s="50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ht="15.75" customHeight="1">
      <c r="A144" s="25"/>
      <c r="B144" s="50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ht="15.75" customHeight="1">
      <c r="A145" s="25"/>
      <c r="B145" s="50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15.75" customHeight="1">
      <c r="A146" s="25"/>
      <c r="B146" s="50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ht="15.75" customHeight="1">
      <c r="A147" s="25"/>
      <c r="B147" s="5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ht="15.75" customHeight="1">
      <c r="A148" s="25"/>
      <c r="B148" s="5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ht="15.75" customHeight="1">
      <c r="A149" s="25"/>
      <c r="B149" s="5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ht="15.75" customHeight="1">
      <c r="A150" s="25"/>
      <c r="B150" s="5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ht="15.75" customHeight="1">
      <c r="A151" s="25"/>
      <c r="B151" s="50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15.75" customHeight="1">
      <c r="A152" s="25"/>
      <c r="B152" s="50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ht="15.75" customHeight="1">
      <c r="A153" s="25"/>
      <c r="B153" s="50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ht="15.75" customHeight="1">
      <c r="A154" s="25"/>
      <c r="B154" s="50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ht="15.75" customHeight="1">
      <c r="A155" s="25"/>
      <c r="B155" s="50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ht="15.75" customHeight="1">
      <c r="A156" s="25"/>
      <c r="B156" s="50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ht="15.75" customHeight="1">
      <c r="A157" s="25"/>
      <c r="B157" s="5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ht="15.75" customHeight="1">
      <c r="A158" s="25"/>
      <c r="B158" s="50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ht="15.75" customHeight="1">
      <c r="A159" s="25"/>
      <c r="B159" s="50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ht="15.75" customHeight="1">
      <c r="A160" s="25"/>
      <c r="B160" s="5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ht="15.75" customHeight="1">
      <c r="A161" s="25"/>
      <c r="B161" s="50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ht="15.75" customHeight="1">
      <c r="A162" s="25"/>
      <c r="B162" s="50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ht="15.75" customHeight="1">
      <c r="A163" s="25"/>
      <c r="B163" s="50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ht="15.75" customHeight="1">
      <c r="A164" s="25"/>
      <c r="B164" s="50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ht="15.75" customHeight="1">
      <c r="A165" s="25"/>
      <c r="B165" s="50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ht="15.75" customHeight="1">
      <c r="A166" s="25"/>
      <c r="B166" s="50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ht="15.75" customHeight="1">
      <c r="A167" s="25"/>
      <c r="B167" s="50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ht="15.75" customHeight="1">
      <c r="A168" s="25"/>
      <c r="B168" s="50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ht="15.75" customHeight="1">
      <c r="A169" s="25"/>
      <c r="B169" s="50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ht="15.75" customHeight="1">
      <c r="A170" s="25"/>
      <c r="B170" s="50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ht="15.75" customHeight="1">
      <c r="A171" s="25"/>
      <c r="B171" s="50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ht="15.75" customHeight="1">
      <c r="A172" s="25"/>
      <c r="B172" s="50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ht="15.75" customHeight="1">
      <c r="A173" s="25"/>
      <c r="B173" s="50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ht="15.75" customHeight="1">
      <c r="A174" s="25"/>
      <c r="B174" s="50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ht="15.75" customHeight="1">
      <c r="A175" s="25"/>
      <c r="B175" s="50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ht="15.75" customHeight="1">
      <c r="A176" s="25"/>
      <c r="B176" s="50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ht="15.75" customHeight="1">
      <c r="A177" s="25"/>
      <c r="B177" s="50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ht="15.75" customHeight="1">
      <c r="A178" s="25"/>
      <c r="B178" s="50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ht="15.75" customHeight="1">
      <c r="A179" s="25"/>
      <c r="B179" s="50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15.75" customHeight="1">
      <c r="A180" s="25"/>
      <c r="B180" s="50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ht="15.75" customHeight="1">
      <c r="A181" s="25"/>
      <c r="B181" s="50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ht="15.75" customHeight="1">
      <c r="A182" s="25"/>
      <c r="B182" s="50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ht="15.75" customHeight="1">
      <c r="A183" s="25"/>
      <c r="B183" s="50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ht="15.75" customHeight="1">
      <c r="A184" s="25"/>
      <c r="B184" s="50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ht="15.75" customHeight="1">
      <c r="A185" s="25"/>
      <c r="B185" s="50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ht="15.75" customHeight="1">
      <c r="A186" s="25"/>
      <c r="B186" s="50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ht="15.75" customHeight="1">
      <c r="A187" s="25"/>
      <c r="B187" s="50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ht="15.75" customHeight="1">
      <c r="A188" s="25"/>
      <c r="B188" s="50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ht="15.75" customHeight="1">
      <c r="A189" s="25"/>
      <c r="B189" s="50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ht="15.75" customHeight="1">
      <c r="A190" s="25"/>
      <c r="B190" s="50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ht="15.75" customHeight="1">
      <c r="A191" s="25"/>
      <c r="B191" s="50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ht="15.75" customHeight="1">
      <c r="A192" s="25"/>
      <c r="B192" s="50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15.75" customHeight="1">
      <c r="A193" s="25"/>
      <c r="B193" s="50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ht="15.75" customHeight="1">
      <c r="A194" s="25"/>
      <c r="B194" s="50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ht="15.75" customHeight="1">
      <c r="A195" s="25"/>
      <c r="B195" s="50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ht="15.75" customHeight="1">
      <c r="A196" s="25"/>
      <c r="B196" s="50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ht="15.75" customHeight="1">
      <c r="A197" s="25"/>
      <c r="B197" s="50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ht="15.75" customHeight="1">
      <c r="A198" s="25"/>
      <c r="B198" s="50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ht="15.75" customHeight="1">
      <c r="A199" s="25"/>
      <c r="B199" s="50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ht="15.75" customHeight="1">
      <c r="A200" s="25"/>
      <c r="B200" s="50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ht="15.75" customHeight="1">
      <c r="A201" s="25"/>
      <c r="B201" s="50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ht="15.75" customHeight="1">
      <c r="A202" s="25"/>
      <c r="B202" s="50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ht="15.75" customHeight="1">
      <c r="A203" s="25"/>
      <c r="B203" s="5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ht="15.75" customHeight="1">
      <c r="A204" s="25"/>
      <c r="B204" s="50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ht="15.75" customHeight="1">
      <c r="A205" s="25"/>
      <c r="B205" s="50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ht="15.75" customHeight="1">
      <c r="A206" s="25"/>
      <c r="B206" s="50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ht="15.75" customHeight="1">
      <c r="A207" s="25"/>
      <c r="B207" s="50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ht="15.75" customHeight="1">
      <c r="A208" s="25"/>
      <c r="B208" s="50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ht="15.75" customHeight="1">
      <c r="A209" s="25"/>
      <c r="B209" s="50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ht="15.75" customHeight="1">
      <c r="A210" s="25"/>
      <c r="B210" s="50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ht="15.75" customHeight="1">
      <c r="A211" s="25"/>
      <c r="B211" s="50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ht="15.75" customHeight="1">
      <c r="A212" s="25"/>
      <c r="B212" s="50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ht="15.75" customHeight="1">
      <c r="A213" s="25"/>
      <c r="B213" s="50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ht="15.75" customHeight="1">
      <c r="A214" s="25"/>
      <c r="B214" s="50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ht="15.75" customHeight="1">
      <c r="A215" s="25"/>
      <c r="B215" s="50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ht="15.75" customHeight="1">
      <c r="A216" s="25"/>
      <c r="B216" s="50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ht="15.75" customHeight="1">
      <c r="A217" s="25"/>
      <c r="B217" s="50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ht="15.75" customHeight="1">
      <c r="A218" s="25"/>
      <c r="B218" s="50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ht="15.75" customHeight="1">
      <c r="A219" s="25"/>
      <c r="B219" s="50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ht="15.75" customHeight="1">
      <c r="A220" s="25"/>
      <c r="B220" s="50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2.0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5.0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60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61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62</v>
      </c>
      <c r="C9" s="44" t="s">
        <v>152</v>
      </c>
      <c r="D9" s="45"/>
      <c r="E9" s="44"/>
      <c r="F9" s="44"/>
      <c r="G9" s="44"/>
      <c r="H9" s="44"/>
      <c r="I9" s="44"/>
      <c r="J9" s="44">
        <f t="shared" ref="J9:J15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5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64</v>
      </c>
      <c r="C10" s="18" t="s">
        <v>152</v>
      </c>
      <c r="D10" s="46"/>
      <c r="E10" s="47"/>
      <c r="F10" s="47"/>
      <c r="G10" s="47"/>
      <c r="H10" s="46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8" t="s">
        <v>65</v>
      </c>
      <c r="C11" s="46" t="s">
        <v>152</v>
      </c>
      <c r="D11" s="46"/>
      <c r="E11" s="47"/>
      <c r="F11" s="47"/>
      <c r="G11" s="47"/>
      <c r="H11" s="46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66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67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7">
        <v>6.0</v>
      </c>
      <c r="B14" s="13" t="s">
        <v>68</v>
      </c>
      <c r="C14" s="46" t="s">
        <v>152</v>
      </c>
      <c r="D14" s="47"/>
      <c r="E14" s="47"/>
      <c r="F14" s="46"/>
      <c r="G14" s="47"/>
      <c r="H14" s="47"/>
      <c r="I14" s="47"/>
      <c r="J14" s="44">
        <f t="shared" si="1"/>
        <v>15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69</v>
      </c>
      <c r="C15" s="47"/>
      <c r="D15" s="46" t="s">
        <v>152</v>
      </c>
      <c r="E15" s="47"/>
      <c r="F15" s="46"/>
      <c r="G15" s="47"/>
      <c r="H15" s="47"/>
      <c r="I15" s="47"/>
      <c r="J15" s="44">
        <f t="shared" si="1"/>
        <v>10</v>
      </c>
      <c r="K15" s="46">
        <v>0.0</v>
      </c>
      <c r="L15" s="46">
        <v>0.0</v>
      </c>
      <c r="M15" s="47">
        <f t="shared" si="2"/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48" t="s">
        <v>153</v>
      </c>
      <c r="J16" s="49">
        <f>SUM(J9:J15)</f>
        <v>100</v>
      </c>
      <c r="K16" s="25"/>
      <c r="L16" s="50" t="s">
        <v>154</v>
      </c>
      <c r="M16" s="25">
        <f>sum(M9:M14)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175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2.0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6.0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60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176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71</v>
      </c>
      <c r="C9" s="44" t="s">
        <v>152</v>
      </c>
      <c r="D9" s="45"/>
      <c r="E9" s="44"/>
      <c r="F9" s="44"/>
      <c r="G9" s="44"/>
      <c r="H9" s="44"/>
      <c r="I9" s="44"/>
      <c r="J9" s="44">
        <f t="shared" ref="J9:J15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5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72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73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74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75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7">
        <v>6.0</v>
      </c>
      <c r="B14" s="13" t="s">
        <v>76</v>
      </c>
      <c r="C14" s="46" t="s">
        <v>152</v>
      </c>
      <c r="D14" s="47"/>
      <c r="E14" s="46"/>
      <c r="F14" s="46"/>
      <c r="G14" s="47"/>
      <c r="H14" s="47"/>
      <c r="I14" s="47"/>
      <c r="J14" s="44">
        <f t="shared" si="1"/>
        <v>15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77</v>
      </c>
      <c r="C15" s="47"/>
      <c r="D15" s="46" t="s">
        <v>152</v>
      </c>
      <c r="E15" s="46"/>
      <c r="F15" s="46"/>
      <c r="G15" s="46"/>
      <c r="H15" s="46"/>
      <c r="I15" s="47"/>
      <c r="J15" s="44">
        <f t="shared" si="1"/>
        <v>10</v>
      </c>
      <c r="K15" s="46">
        <v>0.0</v>
      </c>
      <c r="L15" s="46">
        <v>0.0</v>
      </c>
      <c r="M15" s="47">
        <f t="shared" si="2"/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48" t="s">
        <v>153</v>
      </c>
      <c r="J16" s="49">
        <f>SUM(J8:J15)</f>
        <v>100</v>
      </c>
      <c r="K16" s="25"/>
      <c r="L16" s="50" t="s">
        <v>154</v>
      </c>
      <c r="M16" s="25">
        <f>sum(M10:M15)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177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7.2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2.0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7.0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60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178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79</v>
      </c>
      <c r="C9" s="45" t="s">
        <v>152</v>
      </c>
      <c r="D9" s="45"/>
      <c r="E9" s="45"/>
      <c r="F9" s="44"/>
      <c r="G9" s="44"/>
      <c r="H9" s="44"/>
      <c r="I9" s="44"/>
      <c r="J9" s="44">
        <f t="shared" ref="J9:J15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5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80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81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82</v>
      </c>
      <c r="C12" s="46" t="s">
        <v>152</v>
      </c>
      <c r="D12" s="46"/>
      <c r="E12" s="47"/>
      <c r="F12" s="46" t="s">
        <v>152</v>
      </c>
      <c r="G12" s="47"/>
      <c r="H12" s="47"/>
      <c r="I12" s="47"/>
      <c r="J12" s="44">
        <f t="shared" si="1"/>
        <v>30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9" t="s">
        <v>83</v>
      </c>
      <c r="C13" s="46"/>
      <c r="D13" s="47"/>
      <c r="E13" s="46" t="s">
        <v>152</v>
      </c>
      <c r="F13" s="47"/>
      <c r="G13" s="47"/>
      <c r="H13" s="47"/>
      <c r="I13" s="47"/>
      <c r="J13" s="44">
        <f t="shared" si="1"/>
        <v>10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7">
        <v>6.0</v>
      </c>
      <c r="B14" s="19" t="s">
        <v>84</v>
      </c>
      <c r="C14" s="47"/>
      <c r="D14" s="47"/>
      <c r="E14" s="46" t="s">
        <v>152</v>
      </c>
      <c r="F14" s="46"/>
      <c r="G14" s="47"/>
      <c r="H14" s="47"/>
      <c r="I14" s="47"/>
      <c r="J14" s="44">
        <f t="shared" si="1"/>
        <v>10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9" t="s">
        <v>179</v>
      </c>
      <c r="C15" s="47"/>
      <c r="D15" s="47"/>
      <c r="E15" s="47"/>
      <c r="F15" s="46" t="s">
        <v>152</v>
      </c>
      <c r="G15" s="47"/>
      <c r="H15" s="47"/>
      <c r="I15" s="47"/>
      <c r="J15" s="44">
        <f t="shared" si="1"/>
        <v>15</v>
      </c>
      <c r="K15" s="46">
        <v>0.0</v>
      </c>
      <c r="L15" s="46">
        <v>0.0</v>
      </c>
      <c r="M15" s="47">
        <f t="shared" si="2"/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48" t="s">
        <v>153</v>
      </c>
      <c r="J16" s="49">
        <f>SUM(J8:J15)</f>
        <v>110</v>
      </c>
      <c r="K16" s="25"/>
      <c r="L16" s="50" t="s">
        <v>154</v>
      </c>
      <c r="M16" s="25">
        <f>sum(M10:M15)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180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2.0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8.0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60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181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60">
        <v>1.0</v>
      </c>
      <c r="B9" s="61" t="s">
        <v>87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4" si="1">IF(D9="X",$D$7,0)+IF(E9="X",$E$7,0)+IF(F9="X",$F$7,0)+IF(G9="X",$G$7,0)+IF(H9="X",$H$7,0)+IF(I9="X",$I$7,0)+IF(C9="X",$I$7,0)</f>
        <v>15</v>
      </c>
      <c r="K9" s="13">
        <v>0.0</v>
      </c>
      <c r="L9" s="46">
        <v>0.0</v>
      </c>
      <c r="M9" s="47">
        <f t="shared" ref="M9:M14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62">
        <v>2.0</v>
      </c>
      <c r="B10" s="63" t="s">
        <v>88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62">
        <v>3.0</v>
      </c>
      <c r="B11" s="61" t="s">
        <v>182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62">
        <v>4.0</v>
      </c>
      <c r="B12" s="61" t="s">
        <v>90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62">
        <v>5.0</v>
      </c>
      <c r="B13" s="61" t="s">
        <v>91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62">
        <v>6.0</v>
      </c>
      <c r="B14" s="61" t="s">
        <v>92</v>
      </c>
      <c r="C14" s="46" t="s">
        <v>152</v>
      </c>
      <c r="D14" s="46" t="s">
        <v>152</v>
      </c>
      <c r="E14" s="46" t="s">
        <v>152</v>
      </c>
      <c r="F14" s="46"/>
      <c r="G14" s="46"/>
      <c r="H14" s="47"/>
      <c r="I14" s="47"/>
      <c r="J14" s="44">
        <f t="shared" si="1"/>
        <v>35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5"/>
      <c r="B15" s="64"/>
      <c r="C15" s="25"/>
      <c r="D15" s="25"/>
      <c r="E15" s="25"/>
      <c r="F15" s="25"/>
      <c r="G15" s="25"/>
      <c r="H15" s="25"/>
      <c r="I15" s="48" t="s">
        <v>153</v>
      </c>
      <c r="J15" s="49">
        <f>SUM(J7:J14)</f>
        <v>110</v>
      </c>
      <c r="K15" s="25"/>
      <c r="L15" s="50" t="s">
        <v>154</v>
      </c>
      <c r="M15" s="25">
        <f>sum(M9:M14)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183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3.0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9.0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93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7" t="s">
        <v>94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65">
        <v>1.0</v>
      </c>
      <c r="B9" s="61" t="s">
        <v>95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4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4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62">
        <v>2.0</v>
      </c>
      <c r="B10" s="61" t="s">
        <v>184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62">
        <v>3.0</v>
      </c>
      <c r="B11" s="61" t="s">
        <v>185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62">
        <v>4.0</v>
      </c>
      <c r="B12" s="61" t="s">
        <v>99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62">
        <v>5.0</v>
      </c>
      <c r="B13" s="61" t="s">
        <v>100</v>
      </c>
      <c r="C13" s="46" t="s">
        <v>152</v>
      </c>
      <c r="D13" s="46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62">
        <v>6.0</v>
      </c>
      <c r="B14" s="61" t="s">
        <v>101</v>
      </c>
      <c r="C14" s="46" t="s">
        <v>152</v>
      </c>
      <c r="D14" s="46" t="s">
        <v>152</v>
      </c>
      <c r="E14" s="46" t="s">
        <v>152</v>
      </c>
      <c r="F14" s="46"/>
      <c r="G14" s="46"/>
      <c r="H14" s="47"/>
      <c r="I14" s="47"/>
      <c r="J14" s="44">
        <f t="shared" si="1"/>
        <v>35</v>
      </c>
      <c r="K14" s="46">
        <v>0.0</v>
      </c>
      <c r="L14" s="46">
        <v>0.0</v>
      </c>
      <c r="M14" s="47">
        <f t="shared" si="2"/>
        <v>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25"/>
      <c r="B15" s="64"/>
      <c r="C15" s="25"/>
      <c r="D15" s="25"/>
      <c r="E15" s="25"/>
      <c r="F15" s="25"/>
      <c r="G15" s="25"/>
      <c r="H15" s="25"/>
      <c r="I15" s="48" t="s">
        <v>153</v>
      </c>
      <c r="J15" s="49">
        <f>SUM(J7:J14)</f>
        <v>110</v>
      </c>
      <c r="K15" s="25"/>
      <c r="L15" s="50" t="s">
        <v>154</v>
      </c>
      <c r="M15" s="25">
        <f>sum(M9:M14)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51" t="s">
        <v>155</v>
      </c>
      <c r="B17" s="25"/>
      <c r="C17" s="25"/>
      <c r="D17" s="25"/>
      <c r="E17" s="25"/>
      <c r="F17" s="25"/>
      <c r="G17" s="25"/>
      <c r="H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186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157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3.0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10.0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93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102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65">
        <v>1.0</v>
      </c>
      <c r="B9" s="61" t="s">
        <v>103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5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62">
        <v>2.0</v>
      </c>
      <c r="B10" s="61" t="s">
        <v>187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62">
        <v>3.0</v>
      </c>
      <c r="B11" s="61" t="s">
        <v>188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62">
        <v>4.0</v>
      </c>
      <c r="B12" s="61" t="s">
        <v>189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62">
        <v>5.0</v>
      </c>
      <c r="B13" s="61" t="s">
        <v>190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62">
        <v>6.0</v>
      </c>
      <c r="B14" s="61" t="s">
        <v>191</v>
      </c>
      <c r="C14" s="46" t="s">
        <v>152</v>
      </c>
      <c r="D14" s="47"/>
      <c r="E14" s="47"/>
      <c r="F14" s="46"/>
      <c r="G14" s="46"/>
      <c r="H14" s="47"/>
      <c r="I14" s="47"/>
      <c r="J14" s="44">
        <f t="shared" si="1"/>
        <v>15</v>
      </c>
      <c r="K14" s="46"/>
      <c r="L14" s="46"/>
      <c r="M14" s="4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62">
        <v>7.0</v>
      </c>
      <c r="B15" s="61" t="s">
        <v>92</v>
      </c>
      <c r="C15" s="46" t="s">
        <v>152</v>
      </c>
      <c r="D15" s="46" t="s">
        <v>152</v>
      </c>
      <c r="E15" s="46"/>
      <c r="F15" s="46"/>
      <c r="G15" s="46"/>
      <c r="H15" s="47"/>
      <c r="I15" s="47"/>
      <c r="J15" s="44">
        <f t="shared" si="1"/>
        <v>25</v>
      </c>
      <c r="K15" s="46">
        <v>0.0</v>
      </c>
      <c r="L15" s="46">
        <v>0.0</v>
      </c>
      <c r="M15" s="47">
        <f>sum(K15:L15)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115</v>
      </c>
      <c r="K16" s="25"/>
      <c r="L16" s="50" t="s">
        <v>154</v>
      </c>
      <c r="M16" s="25">
        <f>sum(M9:M15)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192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51" t="s">
        <v>157</v>
      </c>
      <c r="B20" s="25"/>
      <c r="C20" s="25"/>
      <c r="D20" s="25"/>
      <c r="E20" s="25"/>
      <c r="F20" s="25"/>
      <c r="G20" s="25"/>
      <c r="H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3.0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11.0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93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109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110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5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111</v>
      </c>
      <c r="C10" s="18" t="s">
        <v>152</v>
      </c>
      <c r="D10" s="46"/>
      <c r="E10" s="47"/>
      <c r="F10" s="47"/>
      <c r="G10" s="47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112</v>
      </c>
      <c r="C11" s="46" t="s">
        <v>152</v>
      </c>
      <c r="D11" s="46"/>
      <c r="E11" s="47"/>
      <c r="F11" s="47"/>
      <c r="G11" s="47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113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114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6">
        <v>6.0</v>
      </c>
      <c r="B14" s="13" t="s">
        <v>115</v>
      </c>
      <c r="C14" s="46" t="s">
        <v>152</v>
      </c>
      <c r="D14" s="47"/>
      <c r="E14" s="47"/>
      <c r="F14" s="46"/>
      <c r="G14" s="46"/>
      <c r="H14" s="47"/>
      <c r="I14" s="47"/>
      <c r="J14" s="44">
        <f t="shared" si="1"/>
        <v>15</v>
      </c>
      <c r="K14" s="46"/>
      <c r="L14" s="46"/>
      <c r="M14" s="4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85</v>
      </c>
      <c r="C15" s="46" t="s">
        <v>152</v>
      </c>
      <c r="D15" s="46" t="s">
        <v>152</v>
      </c>
      <c r="E15" s="47"/>
      <c r="F15" s="46"/>
      <c r="G15" s="46"/>
      <c r="H15" s="47"/>
      <c r="I15" s="47"/>
      <c r="J15" s="44">
        <f t="shared" si="1"/>
        <v>25</v>
      </c>
      <c r="K15" s="46">
        <v>0.0</v>
      </c>
      <c r="L15" s="46">
        <v>0.0</v>
      </c>
      <c r="M15" s="47">
        <f>sum(K15:L15)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115</v>
      </c>
      <c r="K16" s="25"/>
      <c r="L16" s="50" t="s">
        <v>154</v>
      </c>
      <c r="M16" s="25">
        <f>sum(M9:M15)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193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51" t="s">
        <v>157</v>
      </c>
      <c r="B20" s="25"/>
      <c r="C20" s="25"/>
      <c r="D20" s="25"/>
      <c r="E20" s="25"/>
      <c r="F20" s="25"/>
      <c r="G20" s="25"/>
      <c r="H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3.0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12.0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93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116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117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5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118</v>
      </c>
      <c r="C10" s="18" t="s">
        <v>152</v>
      </c>
      <c r="D10" s="46"/>
      <c r="E10" s="47"/>
      <c r="F10" s="47"/>
      <c r="G10" s="46" t="s">
        <v>152</v>
      </c>
      <c r="H10" s="47"/>
      <c r="I10" s="47"/>
      <c r="J10" s="44">
        <f t="shared" si="1"/>
        <v>20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119</v>
      </c>
      <c r="C11" s="46" t="s">
        <v>152</v>
      </c>
      <c r="D11" s="46"/>
      <c r="E11" s="47"/>
      <c r="F11" s="47"/>
      <c r="G11" s="46" t="s">
        <v>152</v>
      </c>
      <c r="H11" s="47"/>
      <c r="I11" s="47"/>
      <c r="J11" s="44">
        <f t="shared" si="1"/>
        <v>20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120</v>
      </c>
      <c r="C12" s="46" t="s">
        <v>152</v>
      </c>
      <c r="D12" s="46"/>
      <c r="E12" s="47"/>
      <c r="F12" s="46"/>
      <c r="G12" s="47"/>
      <c r="H12" s="47"/>
      <c r="I12" s="47"/>
      <c r="J12" s="44">
        <f t="shared" si="1"/>
        <v>15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121</v>
      </c>
      <c r="C13" s="46" t="s">
        <v>152</v>
      </c>
      <c r="D13" s="47"/>
      <c r="E13" s="46"/>
      <c r="F13" s="47"/>
      <c r="G13" s="47"/>
      <c r="H13" s="47"/>
      <c r="I13" s="47"/>
      <c r="J13" s="44">
        <f t="shared" si="1"/>
        <v>15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6">
        <v>6.0</v>
      </c>
      <c r="B14" s="13" t="s">
        <v>122</v>
      </c>
      <c r="C14" s="46"/>
      <c r="D14" s="47"/>
      <c r="E14" s="46" t="s">
        <v>152</v>
      </c>
      <c r="F14" s="46"/>
      <c r="G14" s="46"/>
      <c r="H14" s="47"/>
      <c r="I14" s="47"/>
      <c r="J14" s="44">
        <f t="shared" si="1"/>
        <v>10</v>
      </c>
      <c r="K14" s="46"/>
      <c r="L14" s="46"/>
      <c r="M14" s="4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123</v>
      </c>
      <c r="C15" s="46"/>
      <c r="D15" s="47"/>
      <c r="E15" s="47"/>
      <c r="F15" s="46" t="s">
        <v>152</v>
      </c>
      <c r="G15" s="46" t="s">
        <v>152</v>
      </c>
      <c r="H15" s="47"/>
      <c r="I15" s="47"/>
      <c r="J15" s="44">
        <f t="shared" si="1"/>
        <v>20</v>
      </c>
      <c r="K15" s="46">
        <v>0.0</v>
      </c>
      <c r="L15" s="46">
        <v>0.0</v>
      </c>
      <c r="M15" s="47">
        <f>sum(K15:L15)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115</v>
      </c>
      <c r="K16" s="25"/>
      <c r="L16" s="50" t="s">
        <v>154</v>
      </c>
      <c r="M16" s="25">
        <f>sum(M9:M15)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194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51" t="s">
        <v>157</v>
      </c>
      <c r="B20" s="25"/>
      <c r="C20" s="25"/>
      <c r="D20" s="25"/>
      <c r="E20" s="25"/>
      <c r="F20" s="25"/>
      <c r="G20" s="25"/>
      <c r="H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4.0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13.0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124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125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126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5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127</v>
      </c>
      <c r="C10" s="18" t="s">
        <v>152</v>
      </c>
      <c r="D10" s="46"/>
      <c r="E10" s="47"/>
      <c r="F10" s="47"/>
      <c r="G10" s="46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128</v>
      </c>
      <c r="C11" s="46" t="s">
        <v>152</v>
      </c>
      <c r="D11" s="46"/>
      <c r="E11" s="47"/>
      <c r="F11" s="47"/>
      <c r="G11" s="46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195</v>
      </c>
      <c r="C12" s="46" t="s">
        <v>152</v>
      </c>
      <c r="D12" s="46"/>
      <c r="E12" s="46" t="s">
        <v>152</v>
      </c>
      <c r="F12" s="46"/>
      <c r="G12" s="47"/>
      <c r="H12" s="47"/>
      <c r="I12" s="47"/>
      <c r="J12" s="44">
        <f t="shared" si="1"/>
        <v>25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196</v>
      </c>
      <c r="C13" s="46"/>
      <c r="D13" s="46" t="s">
        <v>152</v>
      </c>
      <c r="E13" s="46"/>
      <c r="F13" s="47"/>
      <c r="G13" s="47"/>
      <c r="H13" s="47"/>
      <c r="I13" s="47"/>
      <c r="J13" s="44">
        <f t="shared" si="1"/>
        <v>10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6">
        <v>6.0</v>
      </c>
      <c r="B14" s="13" t="s">
        <v>131</v>
      </c>
      <c r="C14" s="46" t="s">
        <v>152</v>
      </c>
      <c r="D14" s="47"/>
      <c r="E14" s="46"/>
      <c r="F14" s="46"/>
      <c r="G14" s="46"/>
      <c r="H14" s="47"/>
      <c r="I14" s="47"/>
      <c r="J14" s="44">
        <f t="shared" si="1"/>
        <v>15</v>
      </c>
      <c r="K14" s="46"/>
      <c r="L14" s="46"/>
      <c r="M14" s="4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132</v>
      </c>
      <c r="C15" s="46"/>
      <c r="D15" s="47"/>
      <c r="E15" s="47"/>
      <c r="F15" s="46" t="s">
        <v>152</v>
      </c>
      <c r="G15" s="46"/>
      <c r="H15" s="47"/>
      <c r="I15" s="47"/>
      <c r="J15" s="44">
        <f t="shared" si="1"/>
        <v>15</v>
      </c>
      <c r="K15" s="46">
        <v>0.0</v>
      </c>
      <c r="L15" s="46">
        <v>0.0</v>
      </c>
      <c r="M15" s="47">
        <f>sum(K15:L15)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110</v>
      </c>
      <c r="K16" s="25"/>
      <c r="L16" s="50" t="s">
        <v>154</v>
      </c>
      <c r="M16" s="25">
        <f>sum(M9:M15)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197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51" t="s">
        <v>157</v>
      </c>
      <c r="B20" s="25"/>
      <c r="C20" s="25"/>
      <c r="D20" s="25"/>
      <c r="E20" s="25"/>
      <c r="F20" s="25"/>
      <c r="G20" s="25"/>
      <c r="H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3" t="s">
        <v>141</v>
      </c>
      <c r="B1" s="24">
        <v>4.0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15.75" customHeight="1">
      <c r="A2" s="23" t="s">
        <v>23</v>
      </c>
      <c r="B2" s="26">
        <v>14.0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15.75" customHeight="1">
      <c r="A3" s="23" t="s">
        <v>22</v>
      </c>
      <c r="B3" s="27" t="s">
        <v>124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15.75" customHeight="1">
      <c r="A4" s="23" t="s">
        <v>24</v>
      </c>
      <c r="B4" s="28" t="s">
        <v>133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5.75" customHeight="1">
      <c r="A6" s="29" t="s">
        <v>25</v>
      </c>
      <c r="B6" s="30" t="s">
        <v>142</v>
      </c>
      <c r="C6" s="31" t="s">
        <v>143</v>
      </c>
      <c r="D6" s="31" t="s">
        <v>144</v>
      </c>
      <c r="E6" s="31" t="s">
        <v>145</v>
      </c>
      <c r="F6" s="32" t="s">
        <v>146</v>
      </c>
      <c r="G6" s="33"/>
      <c r="H6" s="32" t="s">
        <v>147</v>
      </c>
      <c r="I6" s="33"/>
      <c r="J6" s="34" t="s">
        <v>148</v>
      </c>
      <c r="K6" s="35" t="s">
        <v>146</v>
      </c>
      <c r="L6" s="36" t="s">
        <v>147</v>
      </c>
      <c r="M6" s="37" t="s">
        <v>149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5.75" customHeight="1">
      <c r="A7" s="38"/>
      <c r="B7" s="30" t="s">
        <v>150</v>
      </c>
      <c r="C7" s="39">
        <v>15.0</v>
      </c>
      <c r="D7" s="39">
        <v>10.0</v>
      </c>
      <c r="E7" s="40">
        <v>10.0</v>
      </c>
      <c r="F7" s="39">
        <v>15.0</v>
      </c>
      <c r="G7" s="39">
        <v>5.0</v>
      </c>
      <c r="H7" s="39">
        <v>5.0</v>
      </c>
      <c r="I7" s="39">
        <v>15.0</v>
      </c>
      <c r="J7" s="38"/>
      <c r="K7" s="41" t="s">
        <v>151</v>
      </c>
      <c r="L7" s="41" t="s">
        <v>151</v>
      </c>
      <c r="M7" s="1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5.75" customHeight="1">
      <c r="A8" s="42"/>
      <c r="B8" s="29" t="s">
        <v>26</v>
      </c>
      <c r="C8" s="42"/>
      <c r="D8" s="42"/>
      <c r="E8" s="42"/>
      <c r="F8" s="42"/>
      <c r="G8" s="42"/>
      <c r="H8" s="42"/>
      <c r="I8" s="42"/>
      <c r="J8" s="42"/>
      <c r="K8" s="15"/>
      <c r="L8" s="15"/>
      <c r="M8" s="1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7.0" customHeight="1">
      <c r="A9" s="43">
        <v>1.0</v>
      </c>
      <c r="B9" s="13" t="s">
        <v>134</v>
      </c>
      <c r="C9" s="45" t="s">
        <v>152</v>
      </c>
      <c r="D9" s="45"/>
      <c r="E9" s="44"/>
      <c r="F9" s="44"/>
      <c r="G9" s="44"/>
      <c r="H9" s="44"/>
      <c r="I9" s="44"/>
      <c r="J9" s="44">
        <f t="shared" ref="J9:J15" si="1">if(C9="X",$C$7,0)+if(D9="X",$D$7,0)+if(E9="X",$E$7,0)+if(F9="X",$F$7,0)+if(G9="X",$G$7,0)+if(H9="X",$H$7,0)+if(I9="X",$I$7,0)</f>
        <v>15</v>
      </c>
      <c r="K9" s="13">
        <v>0.0</v>
      </c>
      <c r="L9" s="46">
        <v>0.0</v>
      </c>
      <c r="M9" s="47">
        <f t="shared" ref="M9:M13" si="2">sum(K9:L9)</f>
        <v>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5.75" customHeight="1">
      <c r="A10" s="47">
        <v>2.0</v>
      </c>
      <c r="B10" s="13" t="s">
        <v>135</v>
      </c>
      <c r="C10" s="18" t="s">
        <v>152</v>
      </c>
      <c r="D10" s="46"/>
      <c r="E10" s="47"/>
      <c r="F10" s="47"/>
      <c r="G10" s="46"/>
      <c r="H10" s="47"/>
      <c r="I10" s="47"/>
      <c r="J10" s="44">
        <f t="shared" si="1"/>
        <v>15</v>
      </c>
      <c r="K10" s="46">
        <v>0.0</v>
      </c>
      <c r="L10" s="46">
        <v>0.0</v>
      </c>
      <c r="M10" s="47">
        <f t="shared" si="2"/>
        <v>0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5.75" customHeight="1">
      <c r="A11" s="47">
        <v>3.0</v>
      </c>
      <c r="B11" s="13" t="s">
        <v>198</v>
      </c>
      <c r="C11" s="46" t="s">
        <v>152</v>
      </c>
      <c r="D11" s="46"/>
      <c r="E11" s="47"/>
      <c r="F11" s="47"/>
      <c r="G11" s="46"/>
      <c r="H11" s="47"/>
      <c r="I11" s="47"/>
      <c r="J11" s="44">
        <f t="shared" si="1"/>
        <v>15</v>
      </c>
      <c r="K11" s="46">
        <v>0.0</v>
      </c>
      <c r="L11" s="46">
        <v>0.0</v>
      </c>
      <c r="M11" s="47">
        <f t="shared" si="2"/>
        <v>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5.75" customHeight="1">
      <c r="A12" s="47">
        <v>4.0</v>
      </c>
      <c r="B12" s="13" t="s">
        <v>137</v>
      </c>
      <c r="C12" s="46" t="s">
        <v>152</v>
      </c>
      <c r="D12" s="46"/>
      <c r="E12" s="46" t="s">
        <v>152</v>
      </c>
      <c r="F12" s="46"/>
      <c r="G12" s="47"/>
      <c r="H12" s="47"/>
      <c r="I12" s="47"/>
      <c r="J12" s="44">
        <f t="shared" si="1"/>
        <v>25</v>
      </c>
      <c r="K12" s="46">
        <v>0.0</v>
      </c>
      <c r="L12" s="46">
        <v>0.0</v>
      </c>
      <c r="M12" s="47">
        <f t="shared" si="2"/>
        <v>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5.75" customHeight="1">
      <c r="A13" s="47">
        <v>5.0</v>
      </c>
      <c r="B13" s="13" t="s">
        <v>138</v>
      </c>
      <c r="C13" s="46"/>
      <c r="D13" s="46" t="s">
        <v>152</v>
      </c>
      <c r="E13" s="46"/>
      <c r="F13" s="47"/>
      <c r="G13" s="47"/>
      <c r="H13" s="47"/>
      <c r="I13" s="47"/>
      <c r="J13" s="44">
        <f t="shared" si="1"/>
        <v>10</v>
      </c>
      <c r="K13" s="46">
        <v>0.0</v>
      </c>
      <c r="L13" s="46">
        <v>0.0</v>
      </c>
      <c r="M13" s="47">
        <f t="shared" si="2"/>
        <v>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5.75" customHeight="1">
      <c r="A14" s="46">
        <v>6.0</v>
      </c>
      <c r="B14" s="13" t="s">
        <v>139</v>
      </c>
      <c r="C14" s="46" t="s">
        <v>152</v>
      </c>
      <c r="D14" s="47"/>
      <c r="E14" s="46"/>
      <c r="F14" s="46"/>
      <c r="G14" s="46"/>
      <c r="H14" s="47"/>
      <c r="I14" s="47"/>
      <c r="J14" s="44">
        <f t="shared" si="1"/>
        <v>15</v>
      </c>
      <c r="K14" s="46"/>
      <c r="L14" s="46"/>
      <c r="M14" s="4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5.75" customHeight="1">
      <c r="A15" s="46">
        <v>7.0</v>
      </c>
      <c r="B15" s="13" t="s">
        <v>140</v>
      </c>
      <c r="C15" s="46"/>
      <c r="D15" s="47"/>
      <c r="E15" s="47"/>
      <c r="F15" s="46" t="s">
        <v>152</v>
      </c>
      <c r="G15" s="46"/>
      <c r="H15" s="47"/>
      <c r="I15" s="47"/>
      <c r="J15" s="44">
        <f t="shared" si="1"/>
        <v>15</v>
      </c>
      <c r="K15" s="46">
        <v>0.0</v>
      </c>
      <c r="L15" s="46">
        <v>0.0</v>
      </c>
      <c r="M15" s="47">
        <f>sum(K15:L15)</f>
        <v>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5.75" customHeight="1">
      <c r="A16" s="25"/>
      <c r="C16" s="25"/>
      <c r="D16" s="25"/>
      <c r="E16" s="25"/>
      <c r="F16" s="25"/>
      <c r="G16" s="25"/>
      <c r="H16" s="25"/>
      <c r="I16" s="48" t="s">
        <v>153</v>
      </c>
      <c r="J16" s="49">
        <f>SUM(J7:J15)</f>
        <v>110</v>
      </c>
      <c r="K16" s="25"/>
      <c r="L16" s="50" t="s">
        <v>154</v>
      </c>
      <c r="M16" s="25">
        <f>sum(M9:M15)</f>
        <v>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5.75" customHeight="1">
      <c r="A18" s="51" t="s">
        <v>155</v>
      </c>
      <c r="B18" s="25"/>
      <c r="C18" s="25"/>
      <c r="D18" s="25"/>
      <c r="E18" s="25"/>
      <c r="F18" s="25"/>
      <c r="G18" s="25"/>
      <c r="H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5.75" customHeight="1">
      <c r="A19" s="51" t="s">
        <v>199</v>
      </c>
      <c r="B19" s="25"/>
      <c r="C19" s="25"/>
      <c r="D19" s="25"/>
      <c r="E19" s="25"/>
      <c r="F19" s="25"/>
      <c r="G19" s="25"/>
      <c r="H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5.75" customHeight="1">
      <c r="A20" s="51" t="s">
        <v>157</v>
      </c>
      <c r="B20" s="25"/>
      <c r="C20" s="25"/>
      <c r="D20" s="25"/>
      <c r="E20" s="25"/>
      <c r="F20" s="25"/>
      <c r="G20" s="25"/>
      <c r="H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